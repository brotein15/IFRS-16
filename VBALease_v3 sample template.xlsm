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mc:AlternateContent xmlns:mc="http://schemas.openxmlformats.org/markup-compatibility/2006">
    <mc:Choice Requires="x15">
      <x15ac:absPath xmlns:x15ac="http://schemas.microsoft.com/office/spreadsheetml/2010/11/ac" url="C:\Users\Imran Hussain\Desktop\"/>
    </mc:Choice>
  </mc:AlternateContent>
  <bookViews>
    <workbookView xWindow="0" yWindow="0" windowWidth="14805" windowHeight="4455" activeTab="2"/>
  </bookViews>
  <sheets>
    <sheet name="Summary" sheetId="8" r:id="rId1"/>
    <sheet name="LeaseTemplate" sheetId="6" state="hidden" r:id="rId2"/>
    <sheet name="LeaseTemplate (2)" sheetId="9" r:id="rId3"/>
  </sheets>
  <functionGroups builtInGroupCount="18"/>
  <definedNames>
    <definedName name="AssessmentComment" localSheetId="2">'LeaseTemplate (2)'!$C$20</definedName>
    <definedName name="AssessmentComment">LeaseTemplate!$C$20</definedName>
    <definedName name="AssessmentType" localSheetId="2">'LeaseTemplate (2)'!$C$18</definedName>
    <definedName name="AssessmentType">LeaseTemplate!$C$18</definedName>
    <definedName name="Commencement_Date" localSheetId="2">'LeaseTemplate (2)'!$C$24</definedName>
    <definedName name="Commencement_Date">LeaseTemplate!$C$24</definedName>
    <definedName name="ContractualEndingDate" localSheetId="2">'LeaseTemplate (2)'!$C$25</definedName>
    <definedName name="ContractualEndingDate">LeaseTemplate!$C$25</definedName>
    <definedName name="costForDismantlingRestoringAsset" localSheetId="2">'LeaseTemplate (2)'!$C$70</definedName>
    <definedName name="costForDismantlingRestoringAsset">LeaseTemplate!$C$70</definedName>
    <definedName name="Depreciation_Months" localSheetId="1">LeaseTemplate!$C$43</definedName>
    <definedName name="Depreciation_Months" localSheetId="2">'LeaseTemplate (2)'!$C$43</definedName>
    <definedName name="DepreciationTerm_EndDate" localSheetId="2">'LeaseTemplate (2)'!$C$42</definedName>
    <definedName name="DepreciationTerm_EndDate">LeaseTemplate!$C$42</definedName>
    <definedName name="Discount_rate" localSheetId="2">'LeaseTemplate (2)'!$C$61</definedName>
    <definedName name="Discount_rate">LeaseTemplate!$C$61</definedName>
    <definedName name="exercisePricePurchaseOption" localSheetId="2">'LeaseTemplate (2)'!$C$64</definedName>
    <definedName name="exercisePricePurchaseOption">LeaseTemplate!$C$64</definedName>
    <definedName name="ExtensionOption" localSheetId="2">'LeaseTemplate (2)'!$C$27</definedName>
    <definedName name="ExtensionOption">LeaseTemplate!$C$27</definedName>
    <definedName name="ExtensionOption_EndingDate" localSheetId="2">'LeaseTemplate (2)'!$C$28</definedName>
    <definedName name="ExtensionOption_EndingDate">LeaseTemplate!$C$28</definedName>
    <definedName name="IndexChange" localSheetId="2">'LeaseTemplate (2)'!$C$103</definedName>
    <definedName name="IndexChange">LeaseTemplate!$C$103</definedName>
    <definedName name="IndexChangeMonth" localSheetId="2">'LeaseTemplate (2)'!$C$102</definedName>
    <definedName name="IndexChangeMonth">LeaseTemplate!$C$102</definedName>
    <definedName name="IndexFirstMonth" localSheetId="2">'LeaseTemplate (2)'!$C$99</definedName>
    <definedName name="IndexFirstMonth">LeaseTemplate!$C$99</definedName>
    <definedName name="IndexPaymentAmount" localSheetId="2">'LeaseTemplate (2)'!$C$98</definedName>
    <definedName name="IndexPaymentAmount">LeaseTemplate!$C$98</definedName>
    <definedName name="IndexPaymentFrequency" localSheetId="2">'LeaseTemplate (2)'!$C$97</definedName>
    <definedName name="IndexPaymentFrequency">LeaseTemplate!$C$97</definedName>
    <definedName name="IndexPeriod_0" localSheetId="1">LeaseTemplate!$E$17</definedName>
    <definedName name="IndexPeriod_0" localSheetId="2">'LeaseTemplate (2)'!$E$17</definedName>
    <definedName name="IndexStart" localSheetId="2">'LeaseTemplate (2)'!$C$100</definedName>
    <definedName name="IndexStart">LeaseTemplate!$C$100</definedName>
    <definedName name="initialDirectCost" localSheetId="2">'LeaseTemplate (2)'!$C$69</definedName>
    <definedName name="initialDirectCost">LeaseTemplate!$C$69</definedName>
    <definedName name="Interest_conv_method" localSheetId="2">'LeaseTemplate (2)'!$C$60</definedName>
    <definedName name="Interest_conv_method">LeaseTemplate!$C$60</definedName>
    <definedName name="Interest_rate_period" localSheetId="2">'LeaseTemplate (2)'!$C$59</definedName>
    <definedName name="Interest_rate_period">LeaseTemplate!$C$59</definedName>
    <definedName name="Lease_Months" localSheetId="1">LeaseTemplate!$C$34</definedName>
    <definedName name="Lease_Months" localSheetId="2">'LeaseTemplate (2)'!$C$34</definedName>
    <definedName name="NonCancellable_EndDate" localSheetId="2">'LeaseTemplate (2)'!$C$33</definedName>
    <definedName name="NonCancellable_EndDate">LeaseTemplate!$C$33</definedName>
    <definedName name="NonLeasePayment" localSheetId="2">'LeaseTemplate (2)'!$C$49</definedName>
    <definedName name="NonLeasePayment">LeaseTemplate!$C$49</definedName>
    <definedName name="NPV_Payments_Period_0" localSheetId="2">'LeaseTemplate (2)'!$AG$17</definedName>
    <definedName name="NPV_Payments_Period_0">LeaseTemplate!$AG$17</definedName>
    <definedName name="Obj_currency" localSheetId="2">'LeaseTemplate (2)'!$C$9</definedName>
    <definedName name="Obj_currency">LeaseTemplate!$C$9</definedName>
    <definedName name="Obj_name" localSheetId="2">'LeaseTemplate (2)'!$C$7</definedName>
    <definedName name="Obj_name">LeaseTemplate!$C$7</definedName>
    <definedName name="Obj_type" localSheetId="2">'LeaseTemplate (2)'!$C$8</definedName>
    <definedName name="Obj_type">LeaseTemplate!$C$8</definedName>
    <definedName name="PaymentFrequency" localSheetId="2">'LeaseTemplate (2)'!$C$47</definedName>
    <definedName name="PaymentFrequency">LeaseTemplate!$C$47</definedName>
    <definedName name="paymentsBeforeCommencement" localSheetId="2">'LeaseTemplate (2)'!$C$68</definedName>
    <definedName name="paymentsBeforeCommencement">LeaseTemplate!$C$68</definedName>
    <definedName name="penaltiesTerminating" localSheetId="2">'LeaseTemplate (2)'!$C$65</definedName>
    <definedName name="penaltiesTerminating">LeaseTemplate!$C$65</definedName>
    <definedName name="PurchaseOption" localSheetId="2">'LeaseTemplate (2)'!$C$38</definedName>
    <definedName name="PurchaseOption">LeaseTemplate!$C$38</definedName>
    <definedName name="PV_formula_selection" localSheetId="2">'LeaseTemplate (2)'!#REF!</definedName>
    <definedName name="PV_formula_selection">LeaseTemplate!#REF!</definedName>
    <definedName name="Rate_IBR" localSheetId="2">'LeaseTemplate (2)'!$C$56</definedName>
    <definedName name="Rate_IBR">LeaseTemplate!$C$56</definedName>
    <definedName name="Rate_IRIL" localSheetId="2">'LeaseTemplate (2)'!$C$55</definedName>
    <definedName name="Rate_IRIL">LeaseTemplate!$C$55</definedName>
    <definedName name="RateFirstMonth" localSheetId="2">'LeaseTemplate (2)'!$C$90</definedName>
    <definedName name="RateFirstMonth">LeaseTemplate!$C$90</definedName>
    <definedName name="RateFirstMonthIncrease" localSheetId="2">'LeaseTemplate (2)'!$C$94</definedName>
    <definedName name="RateFirstMonthIncrease">LeaseTemplate!$C$94</definedName>
    <definedName name="RateIncreaseFrequency" localSheetId="2">'LeaseTemplate (2)'!$C$92</definedName>
    <definedName name="RateIncreaseFrequency">LeaseTemplate!$C$92</definedName>
    <definedName name="RateIncreaseRate" localSheetId="2">'LeaseTemplate (2)'!$C$93</definedName>
    <definedName name="RateIncreaseRate">LeaseTemplate!$C$93</definedName>
    <definedName name="RatePaymentAmount" localSheetId="2">'LeaseTemplate (2)'!$C$89</definedName>
    <definedName name="RatePaymentAmount">LeaseTemplate!$C$89</definedName>
    <definedName name="RatePaymentFrequency" localSheetId="2">'LeaseTemplate (2)'!$C$88</definedName>
    <definedName name="RatePaymentFrequency">LeaseTemplate!$C$88</definedName>
    <definedName name="RateSelection" localSheetId="2">'LeaseTemplate (2)'!$C$57</definedName>
    <definedName name="RateSelection">LeaseTemplate!$C$57</definedName>
    <definedName name="Reassessment_date" localSheetId="2">'LeaseTemplate (2)'!$C$19</definedName>
    <definedName name="Reassessment_date">LeaseTemplate!$C$19</definedName>
    <definedName name="Residual_value" localSheetId="2">'LeaseTemplate (2)'!$C$71</definedName>
    <definedName name="Residual_value">LeaseTemplate!$C$71</definedName>
    <definedName name="residualValueGuarantees" localSheetId="2">'LeaseTemplate (2)'!$C$63</definedName>
    <definedName name="residualValueGuarantees">LeaseTemplate!$C$63</definedName>
    <definedName name="S_Asset_Carrying_Amount" localSheetId="2">'LeaseTemplate (2)'!$AI$8</definedName>
    <definedName name="S_Asset_Carrying_Amount">LeaseTemplate!$AI$8</definedName>
    <definedName name="S_Comm_Date" localSheetId="2">'LeaseTemplate (2)'!$H$8</definedName>
    <definedName name="S_Comm_Date">LeaseTemplate!$H$8</definedName>
    <definedName name="S_Cost_Asset_Added" localSheetId="2">'LeaseTemplate (2)'!$V$9</definedName>
    <definedName name="S_Cost_Asset_Added">LeaseTemplate!$V$9</definedName>
    <definedName name="S_Cost_Asset_CB" localSheetId="2">'LeaseTemplate (2)'!$Z$9</definedName>
    <definedName name="S_Cost_Asset_CB">LeaseTemplate!$Z$9</definedName>
    <definedName name="S_Cost_Asset_Impairment" localSheetId="2">'LeaseTemplate (2)'!$W$9</definedName>
    <definedName name="S_Cost_Asset_Impairment">LeaseTemplate!$W$9</definedName>
    <definedName name="S_Cost_Asset_Modification" localSheetId="2">'LeaseTemplate (2)'!$X$9</definedName>
    <definedName name="S_Cost_Asset_Modification">LeaseTemplate!$X$9</definedName>
    <definedName name="S_Cost_Asset_OB" localSheetId="2">'LeaseTemplate (2)'!$U$9</definedName>
    <definedName name="S_Cost_Asset_OB">LeaseTemplate!$U$9</definedName>
    <definedName name="S_Cost_Asset_Termination" localSheetId="2">'LeaseTemplate (2)'!$Y$9</definedName>
    <definedName name="S_Cost_Asset_Termination">LeaseTemplate!$Y$9</definedName>
    <definedName name="S_Depr_CB" localSheetId="2">'LeaseTemplate (2)'!$AG$9</definedName>
    <definedName name="S_Depr_CB">LeaseTemplate!$AG$9</definedName>
    <definedName name="S_Depr_Date" localSheetId="2">'LeaseTemplate (2)'!$J$8</definedName>
    <definedName name="S_Depr_Date">LeaseTemplate!$J$8</definedName>
    <definedName name="S_Depr_OB" localSheetId="2">'LeaseTemplate (2)'!$AD$9</definedName>
    <definedName name="S_Depr_OB">LeaseTemplate!$AD$9</definedName>
    <definedName name="S_Depr_Period" localSheetId="2">'LeaseTemplate (2)'!$AE$9</definedName>
    <definedName name="S_Depr_Period">LeaseTemplate!$AE$9</definedName>
    <definedName name="S_Depr_Termination" localSheetId="2">'LeaseTemplate (2)'!$AF$9</definedName>
    <definedName name="S_Depr_Termination">LeaseTemplate!$AF$9</definedName>
    <definedName name="S_Depreciation" localSheetId="2">'LeaseTemplate (2)'!$O$8</definedName>
    <definedName name="S_Depreciation">LeaseTemplate!$O$8</definedName>
    <definedName name="S_Include_On_Summary" localSheetId="2">'LeaseTemplate (2)'!$C$10</definedName>
    <definedName name="S_Include_On_Summary">LeaseTemplate!$C$10</definedName>
    <definedName name="S_Interest" localSheetId="2">'LeaseTemplate (2)'!$M$8</definedName>
    <definedName name="S_Interest">LeaseTemplate!$M$8</definedName>
    <definedName name="S_Lease_Liab_CB" localSheetId="2">'LeaseTemplate (2)'!$AM$8</definedName>
    <definedName name="S_Lease_Liab_CB">LeaseTemplate!$AM$8</definedName>
    <definedName name="S_Lease_Liab_CB_1" localSheetId="2">'LeaseTemplate (2)'!$AN$8</definedName>
    <definedName name="S_Lease_Liab_CB_1">LeaseTemplate!$AN$8</definedName>
    <definedName name="S_Lease_Liab_CB_2_5" localSheetId="2">'LeaseTemplate (2)'!$AO$8</definedName>
    <definedName name="S_Lease_Liab_CB_2_5">LeaseTemplate!$AO$8</definedName>
    <definedName name="S_Lease_Liab_CB_5" localSheetId="2">'LeaseTemplate (2)'!$AP$8</definedName>
    <definedName name="S_Lease_Liab_CB_5">LeaseTemplate!$AP$8</definedName>
    <definedName name="S_Non_Can_Date" localSheetId="2">'LeaseTemplate (2)'!$I$8</definedName>
    <definedName name="S_Non_Can_Date">LeaseTemplate!$I$8</definedName>
    <definedName name="S_Payments" localSheetId="2">'LeaseTemplate (2)'!$L$8</definedName>
    <definedName name="S_Payments">LeaseTemplate!$L$8</definedName>
    <definedName name="S_Repayment" localSheetId="2">'LeaseTemplate (2)'!$N$8</definedName>
    <definedName name="S_Repayment">LeaseTemplate!$N$8</definedName>
    <definedName name="SearchPeriod_0" localSheetId="2">'LeaseTemplate (2)'!$F$17</definedName>
    <definedName name="SearchPeriod_0">LeaseTemplate!$F$17</definedName>
    <definedName name="TerminationOption" localSheetId="2">'LeaseTemplate (2)'!$C$30</definedName>
    <definedName name="TerminationOption">LeaseTemplate!$C$30</definedName>
    <definedName name="TerminationOption_StartDate" localSheetId="2">'LeaseTemplate (2)'!$C$31</definedName>
    <definedName name="TerminationOption_StartDate">LeaseTemplate!$C$31</definedName>
    <definedName name="TotalFixedMonthlyPayment" localSheetId="2">'LeaseTemplate (2)'!$C$48</definedName>
    <definedName name="TotalFixedMonthlyPayment">LeaseTemplate!$C$48</definedName>
    <definedName name="UsefulLife_EndDate" localSheetId="2">'LeaseTemplate (2)'!$C$40</definedName>
    <definedName name="UsefulLife_EndDate">LeaseTemplate!$C$40</definedName>
    <definedName name="UsefulLife_Years" localSheetId="2">'LeaseTemplate (2)'!$C$39</definedName>
    <definedName name="UsefulLife_Years">LeaseTemplate!$C$39</definedName>
    <definedName name="UsefulLifeYears" localSheetId="2">'LeaseTemplate (2)'!$C$39</definedName>
    <definedName name="UsefulLifeYears">LeaseTemplate!$C$39</definedName>
    <definedName name="VariablePaymentType" localSheetId="2">'LeaseTemplate (2)'!$C$80</definedName>
    <definedName name="VariablePaymentType">LeaseTemplate!$C$80</definedName>
    <definedName name="VariableRow1" localSheetId="2">'LeaseTemplate (2)'!$AB$17</definedName>
    <definedName name="VariableRow1">LeaseTemplate!$AB$17</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12" i="8" l="1"/>
  <c r="O12" i="8"/>
  <c r="N12" i="8"/>
  <c r="K12" i="8"/>
  <c r="J12" i="8"/>
  <c r="I12" i="8"/>
  <c r="E12" i="8"/>
  <c r="D12" i="8"/>
  <c r="C12" i="8"/>
  <c r="AX18" i="9" l="1"/>
  <c r="AY18" i="9"/>
  <c r="AX19" i="9"/>
  <c r="AY19" i="9"/>
  <c r="AX20" i="9"/>
  <c r="AY20" i="9"/>
  <c r="AX21" i="9"/>
  <c r="AY21" i="9"/>
  <c r="AX22" i="9"/>
  <c r="AY22" i="9"/>
  <c r="AX23" i="9"/>
  <c r="AY23" i="9"/>
  <c r="AX24" i="9"/>
  <c r="AY24" i="9"/>
  <c r="AX25" i="9"/>
  <c r="AY25" i="9"/>
  <c r="AX26" i="9"/>
  <c r="AY26" i="9"/>
  <c r="AX27" i="9"/>
  <c r="AY27" i="9"/>
  <c r="AX28" i="9"/>
  <c r="AY28" i="9"/>
  <c r="AX29" i="9"/>
  <c r="AY29" i="9"/>
  <c r="AX30" i="9"/>
  <c r="AY30" i="9"/>
  <c r="AX31" i="9"/>
  <c r="AY31" i="9"/>
  <c r="AX32" i="9"/>
  <c r="AY32" i="9"/>
  <c r="AX33" i="9"/>
  <c r="AY33" i="9"/>
  <c r="AX34" i="9"/>
  <c r="AY34" i="9"/>
  <c r="AX35" i="9"/>
  <c r="AY35" i="9"/>
  <c r="AX36" i="9"/>
  <c r="AY36" i="9"/>
  <c r="AX37" i="9"/>
  <c r="AY37" i="9"/>
  <c r="AX38" i="9"/>
  <c r="AY38" i="9"/>
  <c r="AX39" i="9"/>
  <c r="AY39" i="9"/>
  <c r="AX40" i="9"/>
  <c r="AY40" i="9"/>
  <c r="AX41" i="9"/>
  <c r="AY41" i="9"/>
  <c r="AX42" i="9"/>
  <c r="AY42" i="9"/>
  <c r="AX43" i="9"/>
  <c r="AY43" i="9"/>
  <c r="AX44" i="9"/>
  <c r="AY44" i="9"/>
  <c r="AX45" i="9"/>
  <c r="AY45" i="9"/>
  <c r="AX46" i="9"/>
  <c r="AY46" i="9"/>
  <c r="AX47" i="9"/>
  <c r="AY47" i="9"/>
  <c r="AX48" i="9"/>
  <c r="AY48" i="9"/>
  <c r="AX49" i="9"/>
  <c r="AY49" i="9"/>
  <c r="AX50" i="9"/>
  <c r="AY50" i="9"/>
  <c r="AX51" i="9"/>
  <c r="AY51" i="9"/>
  <c r="AX52" i="9"/>
  <c r="AY52" i="9"/>
  <c r="AX53" i="9"/>
  <c r="AY53" i="9"/>
  <c r="AX54" i="9"/>
  <c r="AY54" i="9"/>
  <c r="AX55" i="9"/>
  <c r="AY55" i="9"/>
  <c r="AX56" i="9"/>
  <c r="AY56" i="9"/>
  <c r="AX57" i="9"/>
  <c r="AY57" i="9"/>
  <c r="AX58" i="9"/>
  <c r="AY58" i="9"/>
  <c r="AX59" i="9"/>
  <c r="AY59" i="9"/>
  <c r="AX60" i="9"/>
  <c r="AY60" i="9"/>
  <c r="AX61" i="9"/>
  <c r="AY61" i="9"/>
  <c r="AX62" i="9"/>
  <c r="AY62" i="9"/>
  <c r="AX63" i="9"/>
  <c r="AY63" i="9"/>
  <c r="AX64" i="9"/>
  <c r="AY64" i="9"/>
  <c r="AX65" i="9"/>
  <c r="AY65" i="9"/>
  <c r="AN22" i="9"/>
  <c r="AN24" i="9"/>
  <c r="AN30" i="9"/>
  <c r="AN35" i="9"/>
  <c r="AN38" i="9"/>
  <c r="AN40" i="9"/>
  <c r="AN49" i="9"/>
  <c r="AN51" i="9"/>
  <c r="AN53" i="9"/>
  <c r="AN56" i="9"/>
  <c r="AN58" i="9"/>
  <c r="AN64" i="9"/>
  <c r="AA17" i="9"/>
  <c r="AC17" i="9"/>
  <c r="AN17" i="9" s="1"/>
  <c r="AH17" i="9"/>
  <c r="AJ17" i="9" s="1"/>
  <c r="AI17" i="9"/>
  <c r="AA18" i="9"/>
  <c r="AC18" i="9"/>
  <c r="AN18" i="9" s="1"/>
  <c r="AH18" i="9"/>
  <c r="AI18" i="9"/>
  <c r="AJ18" i="9"/>
  <c r="AK18" i="9"/>
  <c r="AA19" i="9"/>
  <c r="AC19" i="9"/>
  <c r="AH19" i="9"/>
  <c r="AI19" i="9"/>
  <c r="AJ19" i="9"/>
  <c r="AK19" i="9"/>
  <c r="AA20" i="9"/>
  <c r="AC20" i="9" s="1"/>
  <c r="AH20" i="9"/>
  <c r="AI20" i="9"/>
  <c r="AJ20" i="9"/>
  <c r="AK20" i="9"/>
  <c r="AA21" i="9"/>
  <c r="AC21" i="9" s="1"/>
  <c r="AN21" i="9" s="1"/>
  <c r="AH21" i="9"/>
  <c r="AK21" i="9"/>
  <c r="AA22" i="9"/>
  <c r="AC22" i="9"/>
  <c r="AH22" i="9"/>
  <c r="AK22" i="9" s="1"/>
  <c r="AI22" i="9"/>
  <c r="AJ22" i="9"/>
  <c r="AA23" i="9"/>
  <c r="AC23" i="9"/>
  <c r="AH23" i="9"/>
  <c r="AK23" i="9" s="1"/>
  <c r="AI23" i="9"/>
  <c r="AJ23" i="9"/>
  <c r="AA24" i="9"/>
  <c r="AC24" i="9"/>
  <c r="AH24" i="9"/>
  <c r="AI24" i="9" s="1"/>
  <c r="AA25" i="9"/>
  <c r="AC25" i="9"/>
  <c r="AH25" i="9"/>
  <c r="AJ25" i="9" s="1"/>
  <c r="AI25" i="9"/>
  <c r="AA26" i="9"/>
  <c r="AC26" i="9"/>
  <c r="AH26" i="9"/>
  <c r="AI26" i="9" s="1"/>
  <c r="AA27" i="9"/>
  <c r="AC27" i="9" s="1"/>
  <c r="AH27" i="9"/>
  <c r="AA28" i="9"/>
  <c r="AC28" i="9"/>
  <c r="AN28" i="9" s="1"/>
  <c r="AH28" i="9"/>
  <c r="AK28" i="9" s="1"/>
  <c r="AI28" i="9"/>
  <c r="AJ28" i="9"/>
  <c r="AA29" i="9"/>
  <c r="AC29" i="9"/>
  <c r="AH29" i="9"/>
  <c r="AJ29" i="9" s="1"/>
  <c r="AI29" i="9"/>
  <c r="AK29" i="9"/>
  <c r="AA30" i="9"/>
  <c r="AC30" i="9"/>
  <c r="AH30" i="9"/>
  <c r="AI30" i="9"/>
  <c r="AA31" i="9"/>
  <c r="AC31" i="9" s="1"/>
  <c r="AH31" i="9"/>
  <c r="AI31" i="9"/>
  <c r="AJ31" i="9"/>
  <c r="AK31" i="9"/>
  <c r="AA32" i="9"/>
  <c r="AC32" i="9" s="1"/>
  <c r="AH32" i="9"/>
  <c r="AK32" i="9" s="1"/>
  <c r="AI32" i="9"/>
  <c r="AJ32" i="9"/>
  <c r="AA33" i="9"/>
  <c r="AC33" i="9" s="1"/>
  <c r="AN33" i="9" s="1"/>
  <c r="AH33" i="9"/>
  <c r="AK33" i="9" s="1"/>
  <c r="AI33" i="9"/>
  <c r="AJ33" i="9"/>
  <c r="AA34" i="9"/>
  <c r="AC34" i="9"/>
  <c r="AH34" i="9"/>
  <c r="AK34" i="9" s="1"/>
  <c r="AI34" i="9"/>
  <c r="AA35" i="9"/>
  <c r="AC35" i="9"/>
  <c r="AH35" i="9"/>
  <c r="AI35" i="9"/>
  <c r="AJ35" i="9"/>
  <c r="AK35" i="9"/>
  <c r="AA36" i="9"/>
  <c r="AC36" i="9" s="1"/>
  <c r="AH36" i="9"/>
  <c r="AA37" i="9"/>
  <c r="AC37" i="9"/>
  <c r="AN37" i="9" s="1"/>
  <c r="AH37" i="9"/>
  <c r="AI37" i="9"/>
  <c r="AJ37" i="9"/>
  <c r="AK37" i="9"/>
  <c r="AA38" i="9"/>
  <c r="AC38" i="9"/>
  <c r="AH38" i="9"/>
  <c r="AA39" i="9"/>
  <c r="AC39" i="9" s="1"/>
  <c r="AH39" i="9"/>
  <c r="AK39" i="9" s="1"/>
  <c r="AI39" i="9"/>
  <c r="AJ39" i="9"/>
  <c r="AA40" i="9"/>
  <c r="AC40" i="9"/>
  <c r="AH40" i="9"/>
  <c r="AI40" i="9"/>
  <c r="AJ40" i="9"/>
  <c r="AK40" i="9"/>
  <c r="AA41" i="9"/>
  <c r="AC41" i="9" s="1"/>
  <c r="AH41" i="9"/>
  <c r="AA42" i="9"/>
  <c r="AC42" i="9" s="1"/>
  <c r="AH42" i="9"/>
  <c r="AI42" i="9"/>
  <c r="AJ42" i="9"/>
  <c r="AK42" i="9"/>
  <c r="AA43" i="9"/>
  <c r="AC43" i="9"/>
  <c r="AN43" i="9" s="1"/>
  <c r="AH43" i="9"/>
  <c r="AI43" i="9"/>
  <c r="AJ43" i="9"/>
  <c r="AK43" i="9"/>
  <c r="AA44" i="9"/>
  <c r="AC44" i="9"/>
  <c r="AN44" i="9" s="1"/>
  <c r="AH44" i="9"/>
  <c r="AI44" i="9"/>
  <c r="AJ44" i="9"/>
  <c r="AK44" i="9"/>
  <c r="AA45" i="9"/>
  <c r="AC45" i="9" s="1"/>
  <c r="AH45" i="9"/>
  <c r="AJ45" i="9" s="1"/>
  <c r="AI45" i="9"/>
  <c r="AA46" i="9"/>
  <c r="AC46" i="9"/>
  <c r="AN46" i="9" s="1"/>
  <c r="AH46" i="9"/>
  <c r="AK46" i="9" s="1"/>
  <c r="AI46" i="9"/>
  <c r="AJ46" i="9"/>
  <c r="AA47" i="9"/>
  <c r="AC47" i="9" s="1"/>
  <c r="AH47" i="9"/>
  <c r="AA48" i="9"/>
  <c r="AC48" i="9"/>
  <c r="AG48" i="9" s="1"/>
  <c r="AH48" i="9"/>
  <c r="AI48" i="9" s="1"/>
  <c r="AJ48" i="9"/>
  <c r="AK48" i="9"/>
  <c r="AA49" i="9"/>
  <c r="AC49" i="9"/>
  <c r="AH49" i="9"/>
  <c r="AI49" i="9"/>
  <c r="AJ49" i="9"/>
  <c r="AK49" i="9"/>
  <c r="AA50" i="9"/>
  <c r="AC50" i="9" s="1"/>
  <c r="AH50" i="9"/>
  <c r="AK50" i="9" s="1"/>
  <c r="AI50" i="9"/>
  <c r="AJ50" i="9"/>
  <c r="AA51" i="9"/>
  <c r="AC51" i="9"/>
  <c r="AH51" i="9"/>
  <c r="AI51" i="9"/>
  <c r="AJ51" i="9"/>
  <c r="AK51" i="9"/>
  <c r="AA52" i="9"/>
  <c r="AC52" i="9"/>
  <c r="AN52" i="9" s="1"/>
  <c r="AH52" i="9"/>
  <c r="AK52" i="9"/>
  <c r="AA53" i="9"/>
  <c r="AC53" i="9"/>
  <c r="AH53" i="9"/>
  <c r="AJ53" i="9" s="1"/>
  <c r="AI53" i="9"/>
  <c r="AK53" i="9"/>
  <c r="AA54" i="9"/>
  <c r="AC54" i="9"/>
  <c r="AH54" i="9"/>
  <c r="AK54" i="9" s="1"/>
  <c r="AI54" i="9"/>
  <c r="AJ54" i="9"/>
  <c r="AA55" i="9"/>
  <c r="AC55" i="9"/>
  <c r="AN55" i="9" s="1"/>
  <c r="AH55" i="9"/>
  <c r="AI55" i="9"/>
  <c r="AJ55" i="9"/>
  <c r="AK55" i="9"/>
  <c r="AA56" i="9"/>
  <c r="AC56" i="9" s="1"/>
  <c r="AH56" i="9"/>
  <c r="AA57" i="9"/>
  <c r="AC57" i="9" s="1"/>
  <c r="AN57" i="9" s="1"/>
  <c r="AH57" i="9"/>
  <c r="AI57" i="9"/>
  <c r="AJ57" i="9"/>
  <c r="AK57" i="9"/>
  <c r="AA58" i="9"/>
  <c r="AC58" i="9"/>
  <c r="AH58" i="9"/>
  <c r="AK58" i="9" s="1"/>
  <c r="AI58" i="9"/>
  <c r="AJ58" i="9"/>
  <c r="AA59" i="9"/>
  <c r="AC59" i="9" s="1"/>
  <c r="AH59" i="9"/>
  <c r="AK59" i="9" s="1"/>
  <c r="AA60" i="9"/>
  <c r="AC60" i="9"/>
  <c r="AH60" i="9"/>
  <c r="AI60" i="9" s="1"/>
  <c r="AJ60" i="9"/>
  <c r="AK60" i="9"/>
  <c r="AA61" i="9"/>
  <c r="AC61" i="9"/>
  <c r="AG61" i="9" s="1"/>
  <c r="AH61" i="9"/>
  <c r="AI61" i="9"/>
  <c r="AA62" i="9"/>
  <c r="AC62" i="9" s="1"/>
  <c r="AH62" i="9"/>
  <c r="AI62" i="9"/>
  <c r="AJ62" i="9"/>
  <c r="AK62" i="9"/>
  <c r="AA63" i="9"/>
  <c r="AC63" i="9"/>
  <c r="AN63" i="9" s="1"/>
  <c r="AG63" i="9"/>
  <c r="AH63" i="9"/>
  <c r="AI63" i="9" s="1"/>
  <c r="AA64" i="9"/>
  <c r="AC64" i="9"/>
  <c r="AH64" i="9"/>
  <c r="AI64" i="9"/>
  <c r="AJ64" i="9"/>
  <c r="AK64" i="9"/>
  <c r="AA65" i="9"/>
  <c r="AC65" i="9"/>
  <c r="AH65" i="9"/>
  <c r="AI65" i="9"/>
  <c r="M17" i="9"/>
  <c r="N17" i="9"/>
  <c r="Q17" i="9"/>
  <c r="B84" i="9"/>
  <c r="B83" i="9"/>
  <c r="B82" i="9"/>
  <c r="C71" i="9"/>
  <c r="C58" i="9"/>
  <c r="C61" i="9" s="1"/>
  <c r="B53" i="9"/>
  <c r="B52" i="9"/>
  <c r="C50" i="9"/>
  <c r="B48" i="9"/>
  <c r="C40" i="9"/>
  <c r="C33" i="9"/>
  <c r="C34" i="9" s="1"/>
  <c r="Y16" i="9"/>
  <c r="J14" i="9"/>
  <c r="K14" i="9" s="1"/>
  <c r="L14" i="9" s="1"/>
  <c r="M14" i="9" s="1"/>
  <c r="N14" i="9" s="1"/>
  <c r="O14" i="9" s="1"/>
  <c r="P14" i="9" s="1"/>
  <c r="Q14" i="9" s="1"/>
  <c r="R14" i="9" s="1"/>
  <c r="S14" i="9" s="1"/>
  <c r="T14" i="9" s="1"/>
  <c r="U14" i="9" s="1"/>
  <c r="V14" i="9" s="1"/>
  <c r="W14" i="9" s="1"/>
  <c r="X14" i="9" s="1"/>
  <c r="Y14" i="9" s="1"/>
  <c r="Z14" i="9" s="1"/>
  <c r="AA14" i="9" s="1"/>
  <c r="AB14" i="9" s="1"/>
  <c r="AC14" i="9" s="1"/>
  <c r="AD14" i="9" s="1"/>
  <c r="AE14" i="9" s="1"/>
  <c r="AF14" i="9" s="1"/>
  <c r="AG14" i="9" s="1"/>
  <c r="AH14" i="9" s="1"/>
  <c r="AI14" i="9" s="1"/>
  <c r="AJ14" i="9" s="1"/>
  <c r="AK14" i="9" s="1"/>
  <c r="AL14" i="9" s="1"/>
  <c r="AM14" i="9" s="1"/>
  <c r="AN14" i="9" s="1"/>
  <c r="AO14" i="9" s="1"/>
  <c r="AP14" i="9" s="1"/>
  <c r="AQ14" i="9" s="1"/>
  <c r="AR14" i="9" s="1"/>
  <c r="AS14" i="9" s="1"/>
  <c r="AT14" i="9" s="1"/>
  <c r="AU14" i="9" s="1"/>
  <c r="AV14" i="9" s="1"/>
  <c r="AW14" i="9" s="1"/>
  <c r="AX14" i="9" s="1"/>
  <c r="AY14" i="9" s="1"/>
  <c r="AZ14" i="9" s="1"/>
  <c r="BA14" i="9" s="1"/>
  <c r="BB14" i="9" s="1"/>
  <c r="BC14" i="9" s="1"/>
  <c r="BD14" i="9" s="1"/>
  <c r="H14" i="9"/>
  <c r="I14" i="9" s="1"/>
  <c r="F14" i="9"/>
  <c r="G14" i="9" s="1"/>
  <c r="F8" i="9"/>
  <c r="E8" i="9"/>
  <c r="R9" i="9" s="1"/>
  <c r="B2" i="9"/>
  <c r="C42" i="9" a="1"/>
  <c r="R17" i="9"/>
  <c r="AP8" i="9"/>
  <c r="AM8" i="9"/>
  <c r="T9" i="9"/>
  <c r="AC9" i="9"/>
  <c r="J8" i="9"/>
  <c r="AJ8" i="9"/>
  <c r="I8" i="9"/>
  <c r="H8" i="9"/>
  <c r="AA12" i="8" l="1"/>
  <c r="X12" i="8"/>
  <c r="H12" i="8"/>
  <c r="G12" i="8"/>
  <c r="F12" i="8"/>
  <c r="S17" i="9"/>
  <c r="AY17" i="9" s="1"/>
  <c r="AM61" i="9"/>
  <c r="AM48" i="9"/>
  <c r="AG50" i="9"/>
  <c r="AN50" i="9"/>
  <c r="AG49" i="9"/>
  <c r="AG46" i="9"/>
  <c r="AG18" i="9"/>
  <c r="AN39" i="9"/>
  <c r="AG39" i="9"/>
  <c r="AG35" i="9"/>
  <c r="AG37" i="9"/>
  <c r="AN41" i="9"/>
  <c r="AG41" i="9"/>
  <c r="AN59" i="9"/>
  <c r="AG59" i="9"/>
  <c r="AG58" i="9"/>
  <c r="AG55" i="9"/>
  <c r="AG23" i="9"/>
  <c r="AN32" i="9"/>
  <c r="AG32" i="9"/>
  <c r="AI38" i="9"/>
  <c r="AJ38" i="9"/>
  <c r="AK38" i="9"/>
  <c r="AJ65" i="9"/>
  <c r="AK65" i="9"/>
  <c r="AI56" i="9"/>
  <c r="AJ56" i="9"/>
  <c r="AK56" i="9"/>
  <c r="AG54" i="9"/>
  <c r="AG65" i="9"/>
  <c r="AN65" i="9"/>
  <c r="AG64" i="9"/>
  <c r="AI47" i="9"/>
  <c r="AJ47" i="9"/>
  <c r="AK47" i="9"/>
  <c r="AG17" i="9"/>
  <c r="AN19" i="9"/>
  <c r="AG40" i="9"/>
  <c r="AJ30" i="9"/>
  <c r="AK30" i="9"/>
  <c r="AG60" i="9"/>
  <c r="AN60" i="9"/>
  <c r="AG51" i="9"/>
  <c r="AJ59" i="9"/>
  <c r="AG42" i="9"/>
  <c r="AN42" i="9"/>
  <c r="AI27" i="9"/>
  <c r="AJ27" i="9"/>
  <c r="AK27" i="9"/>
  <c r="AK24" i="9"/>
  <c r="AG62" i="9"/>
  <c r="AN62" i="9"/>
  <c r="AI59" i="9"/>
  <c r="AJ41" i="9"/>
  <c r="AI41" i="9"/>
  <c r="AK41" i="9"/>
  <c r="AG27" i="9"/>
  <c r="AJ24" i="9"/>
  <c r="AN20" i="9"/>
  <c r="AG20" i="9"/>
  <c r="AN48" i="9"/>
  <c r="AN27" i="9"/>
  <c r="AN45" i="9"/>
  <c r="AG45" i="9"/>
  <c r="AG43" i="9"/>
  <c r="AG26" i="9"/>
  <c r="AN26" i="9"/>
  <c r="AG19" i="9"/>
  <c r="AG56" i="9"/>
  <c r="AN54" i="9"/>
  <c r="AG53" i="9"/>
  <c r="AN31" i="9"/>
  <c r="AG31" i="9"/>
  <c r="AN61" i="9"/>
  <c r="AG47" i="9"/>
  <c r="AN47" i="9"/>
  <c r="AG28" i="9"/>
  <c r="AG44" i="9"/>
  <c r="AG30" i="9"/>
  <c r="AN25" i="9"/>
  <c r="AG25" i="9"/>
  <c r="AN23" i="9"/>
  <c r="AG22" i="9"/>
  <c r="AG34" i="9"/>
  <c r="AN34" i="9"/>
  <c r="AG33" i="9"/>
  <c r="AK63" i="9"/>
  <c r="AJ61" i="9"/>
  <c r="AK61" i="9"/>
  <c r="AI52" i="9"/>
  <c r="AJ52" i="9"/>
  <c r="AI36" i="9"/>
  <c r="AJ36" i="9"/>
  <c r="AK36" i="9"/>
  <c r="AJ26" i="9"/>
  <c r="AG24" i="9"/>
  <c r="AI21" i="9"/>
  <c r="AJ21" i="9"/>
  <c r="AG21" i="9"/>
  <c r="AK26" i="9"/>
  <c r="AJ63" i="9"/>
  <c r="AG57" i="9"/>
  <c r="AG52" i="9"/>
  <c r="AG36" i="9"/>
  <c r="AG29" i="9"/>
  <c r="AN29" i="9"/>
  <c r="AK17" i="9"/>
  <c r="AN36" i="9"/>
  <c r="AK45" i="9"/>
  <c r="AK25" i="9"/>
  <c r="AJ34" i="9"/>
  <c r="AG38" i="9"/>
  <c r="C42" i="9"/>
  <c r="C43" i="9" s="1"/>
  <c r="AP5" i="9"/>
  <c r="AO5" i="9"/>
  <c r="L8" i="9"/>
  <c r="W9" i="9"/>
  <c r="B84" i="6"/>
  <c r="B82" i="6"/>
  <c r="B83" i="6"/>
  <c r="AX18" i="6"/>
  <c r="AY18" i="6"/>
  <c r="AX19" i="6"/>
  <c r="AY19" i="6"/>
  <c r="AX20" i="6"/>
  <c r="AY20" i="6"/>
  <c r="AX21" i="6"/>
  <c r="AY21" i="6"/>
  <c r="AX22" i="6"/>
  <c r="AY22" i="6"/>
  <c r="AX23" i="6"/>
  <c r="AY23" i="6"/>
  <c r="AX24" i="6"/>
  <c r="AY24" i="6"/>
  <c r="AX25" i="6"/>
  <c r="AY25" i="6"/>
  <c r="AX26" i="6"/>
  <c r="AY26" i="6"/>
  <c r="AX27" i="6"/>
  <c r="AY27" i="6"/>
  <c r="AX28" i="6"/>
  <c r="AY28" i="6"/>
  <c r="AX29" i="6"/>
  <c r="AY29" i="6"/>
  <c r="AX30" i="6"/>
  <c r="AY30" i="6"/>
  <c r="AX31" i="6"/>
  <c r="AY31" i="6"/>
  <c r="AX32" i="6"/>
  <c r="AY32" i="6"/>
  <c r="AX33" i="6"/>
  <c r="AY33" i="6"/>
  <c r="AX34" i="6"/>
  <c r="AY34" i="6"/>
  <c r="AX35" i="6"/>
  <c r="AY35" i="6"/>
  <c r="AX36" i="6"/>
  <c r="AY36" i="6"/>
  <c r="AX37" i="6"/>
  <c r="AY37" i="6"/>
  <c r="AX38" i="6"/>
  <c r="AY38" i="6"/>
  <c r="AX39" i="6"/>
  <c r="AY39" i="6"/>
  <c r="AX40" i="6"/>
  <c r="AY40" i="6"/>
  <c r="AX41" i="6"/>
  <c r="AY41" i="6"/>
  <c r="AX42" i="6"/>
  <c r="AY42" i="6"/>
  <c r="AX43" i="6"/>
  <c r="AY43" i="6"/>
  <c r="AX44" i="6"/>
  <c r="AY44" i="6"/>
  <c r="AX45" i="6"/>
  <c r="AY45" i="6"/>
  <c r="AX46" i="6"/>
  <c r="AY46" i="6"/>
  <c r="AX47" i="6"/>
  <c r="AY47" i="6"/>
  <c r="AX48" i="6"/>
  <c r="AY48" i="6"/>
  <c r="AX49" i="6"/>
  <c r="AY49" i="6"/>
  <c r="AX50" i="6"/>
  <c r="AY50" i="6"/>
  <c r="AX51" i="6"/>
  <c r="AY51" i="6"/>
  <c r="AX52" i="6"/>
  <c r="AY52" i="6"/>
  <c r="AX53" i="6"/>
  <c r="AY53" i="6"/>
  <c r="AA17" i="6"/>
  <c r="AC17" i="6" s="1"/>
  <c r="AA18" i="6"/>
  <c r="AC18" i="6" s="1"/>
  <c r="AN18" i="6" s="1"/>
  <c r="AH18" i="6"/>
  <c r="AJ18" i="6" s="1"/>
  <c r="AA19" i="6"/>
  <c r="AC19" i="6" s="1"/>
  <c r="AN19" i="6" s="1"/>
  <c r="AH19" i="6"/>
  <c r="AJ19" i="6" s="1"/>
  <c r="AI19" i="6"/>
  <c r="AA20" i="6"/>
  <c r="AC20" i="6" s="1"/>
  <c r="AN20" i="6" s="1"/>
  <c r="AH20" i="6"/>
  <c r="AI20" i="6" s="1"/>
  <c r="AA21" i="6"/>
  <c r="AC21" i="6" s="1"/>
  <c r="AH21" i="6"/>
  <c r="AI21" i="6" s="1"/>
  <c r="AA22" i="6"/>
  <c r="AC22" i="6" s="1"/>
  <c r="AH22" i="6"/>
  <c r="AK22" i="6" s="1"/>
  <c r="AA23" i="6"/>
  <c r="AC23" i="6" s="1"/>
  <c r="AN23" i="6" s="1"/>
  <c r="AH23" i="6"/>
  <c r="AK23" i="6" s="1"/>
  <c r="AA24" i="6"/>
  <c r="AC24" i="6" s="1"/>
  <c r="AN24" i="6" s="1"/>
  <c r="AH24" i="6"/>
  <c r="AA25" i="6"/>
  <c r="AC25" i="6" s="1"/>
  <c r="AH25" i="6"/>
  <c r="AI25" i="6" s="1"/>
  <c r="AA26" i="6"/>
  <c r="AC26" i="6" s="1"/>
  <c r="AH26" i="6"/>
  <c r="AK26" i="6" s="1"/>
  <c r="AA27" i="6"/>
  <c r="AC27" i="6" s="1"/>
  <c r="AN27" i="6" s="1"/>
  <c r="AH27" i="6"/>
  <c r="AK27" i="6" s="1"/>
  <c r="AA28" i="6"/>
  <c r="AC28" i="6" s="1"/>
  <c r="AN28" i="6" s="1"/>
  <c r="AH28" i="6"/>
  <c r="AI28" i="6" s="1"/>
  <c r="AA29" i="6"/>
  <c r="AC29" i="6" s="1"/>
  <c r="AN29" i="6" s="1"/>
  <c r="AH29" i="6"/>
  <c r="AJ29" i="6" s="1"/>
  <c r="AA30" i="6"/>
  <c r="AC30" i="6" s="1"/>
  <c r="AH30" i="6"/>
  <c r="AJ30" i="6" s="1"/>
  <c r="AA31" i="6"/>
  <c r="AC31" i="6" s="1"/>
  <c r="AN31" i="6" s="1"/>
  <c r="AH31" i="6"/>
  <c r="AK31" i="6" s="1"/>
  <c r="AA32" i="6"/>
  <c r="AC32" i="6" s="1"/>
  <c r="AN32" i="6" s="1"/>
  <c r="AH32" i="6"/>
  <c r="AI32" i="6" s="1"/>
  <c r="AA33" i="6"/>
  <c r="AC33" i="6" s="1"/>
  <c r="AH33" i="6"/>
  <c r="AJ33" i="6" s="1"/>
  <c r="AA34" i="6"/>
  <c r="AC34" i="6" s="1"/>
  <c r="AH34" i="6"/>
  <c r="AK34" i="6" s="1"/>
  <c r="AA35" i="6"/>
  <c r="AC35" i="6" s="1"/>
  <c r="AN35" i="6" s="1"/>
  <c r="AH35" i="6"/>
  <c r="AK35" i="6" s="1"/>
  <c r="AA36" i="6"/>
  <c r="AC36" i="6" s="1"/>
  <c r="AN36" i="6" s="1"/>
  <c r="AH36" i="6"/>
  <c r="AA37" i="6"/>
  <c r="AC37" i="6" s="1"/>
  <c r="AH37" i="6"/>
  <c r="AA38" i="6"/>
  <c r="AC38" i="6" s="1"/>
  <c r="AH38" i="6"/>
  <c r="AK38" i="6" s="1"/>
  <c r="AA39" i="6"/>
  <c r="AC39" i="6" s="1"/>
  <c r="AH39" i="6"/>
  <c r="AJ39" i="6" s="1"/>
  <c r="AA40" i="6"/>
  <c r="AC40" i="6" s="1"/>
  <c r="AN40" i="6" s="1"/>
  <c r="AH40" i="6"/>
  <c r="AK40" i="6" s="1"/>
  <c r="AA41" i="6"/>
  <c r="AC41" i="6" s="1"/>
  <c r="AN41" i="6" s="1"/>
  <c r="AH41" i="6"/>
  <c r="AJ41" i="6" s="1"/>
  <c r="AA42" i="6"/>
  <c r="AH42" i="6"/>
  <c r="AJ42" i="6" s="1"/>
  <c r="AA43" i="6"/>
  <c r="AC43" i="6" s="1"/>
  <c r="AN43" i="6" s="1"/>
  <c r="AH43" i="6"/>
  <c r="AI43" i="6" s="1"/>
  <c r="AA44" i="6"/>
  <c r="AC44" i="6" s="1"/>
  <c r="AN44" i="6" s="1"/>
  <c r="AH44" i="6"/>
  <c r="AI44" i="6" s="1"/>
  <c r="AA45" i="6"/>
  <c r="AC45" i="6" s="1"/>
  <c r="AH45" i="6"/>
  <c r="AI45" i="6" s="1"/>
  <c r="AA46" i="6"/>
  <c r="AC46" i="6" s="1"/>
  <c r="AH46" i="6"/>
  <c r="AK46" i="6" s="1"/>
  <c r="AI46" i="6"/>
  <c r="AA47" i="6"/>
  <c r="AC47" i="6" s="1"/>
  <c r="AN47" i="6" s="1"/>
  <c r="AH47" i="6"/>
  <c r="AK47" i="6" s="1"/>
  <c r="AA48" i="6"/>
  <c r="AC48" i="6" s="1"/>
  <c r="AN48" i="6" s="1"/>
  <c r="AH48" i="6"/>
  <c r="AK48" i="6" s="1"/>
  <c r="AA49" i="6"/>
  <c r="AC49" i="6" s="1"/>
  <c r="AH49" i="6"/>
  <c r="AA50" i="6"/>
  <c r="AC50" i="6" s="1"/>
  <c r="AH50" i="6"/>
  <c r="AK50" i="6" s="1"/>
  <c r="AA51" i="6"/>
  <c r="AC51" i="6" s="1"/>
  <c r="AH51" i="6"/>
  <c r="AK51" i="6" s="1"/>
  <c r="AA52" i="6"/>
  <c r="AC52" i="6" s="1"/>
  <c r="AN52" i="6" s="1"/>
  <c r="AH52" i="6"/>
  <c r="AI52" i="6" s="1"/>
  <c r="AA53" i="6"/>
  <c r="AC53" i="6" s="1"/>
  <c r="AN53" i="6" s="1"/>
  <c r="AH53" i="6"/>
  <c r="AJ53" i="6" s="1"/>
  <c r="M17" i="6"/>
  <c r="N17" i="6" s="1"/>
  <c r="AH17" i="6" s="1"/>
  <c r="AI17" i="6" s="1"/>
  <c r="Q17" i="6"/>
  <c r="B52" i="6"/>
  <c r="B53" i="6"/>
  <c r="R17" i="6"/>
  <c r="AO8" i="9"/>
  <c r="AF9" i="9"/>
  <c r="Y9" i="9"/>
  <c r="Z12" i="8" l="1"/>
  <c r="U12" i="8"/>
  <c r="Q12" i="8"/>
  <c r="AM29" i="9"/>
  <c r="AM52" i="9"/>
  <c r="AM19" i="9"/>
  <c r="AM27" i="9"/>
  <c r="AM42" i="9"/>
  <c r="AM39" i="9"/>
  <c r="AM57" i="9"/>
  <c r="AM30" i="9"/>
  <c r="AM64" i="9"/>
  <c r="AM32" i="9"/>
  <c r="AM44" i="9"/>
  <c r="AM26" i="9"/>
  <c r="AM51" i="9"/>
  <c r="AM18" i="9"/>
  <c r="AM38" i="9"/>
  <c r="AM28" i="9"/>
  <c r="AM63" i="9"/>
  <c r="AM65" i="9"/>
  <c r="AM23" i="9"/>
  <c r="AM46" i="9"/>
  <c r="AM21" i="9"/>
  <c r="AM43" i="9"/>
  <c r="AM60" i="9"/>
  <c r="AM54" i="9"/>
  <c r="AM55" i="9"/>
  <c r="AM49" i="9"/>
  <c r="AM47" i="9"/>
  <c r="AM45" i="9"/>
  <c r="AM58" i="9"/>
  <c r="AM33" i="9"/>
  <c r="AM62" i="9"/>
  <c r="AM59" i="9"/>
  <c r="AM50" i="9"/>
  <c r="AM31" i="9"/>
  <c r="AM40" i="9"/>
  <c r="AM24" i="9"/>
  <c r="AM34" i="9"/>
  <c r="AM41" i="9"/>
  <c r="AM53" i="9"/>
  <c r="AM37" i="9"/>
  <c r="AM22" i="9"/>
  <c r="AM20" i="9"/>
  <c r="AL17" i="9"/>
  <c r="AM17" i="9"/>
  <c r="AM36" i="9"/>
  <c r="AM25" i="9"/>
  <c r="AM56" i="9"/>
  <c r="AM35" i="9"/>
  <c r="AN8" i="9"/>
  <c r="Y12" i="8" s="1"/>
  <c r="M8" i="9"/>
  <c r="AI39" i="6"/>
  <c r="AI34" i="6"/>
  <c r="AJ27" i="6"/>
  <c r="AI27" i="6"/>
  <c r="AI50" i="6"/>
  <c r="AI42" i="6"/>
  <c r="AI33" i="6"/>
  <c r="AJ51" i="6"/>
  <c r="AJ47" i="6"/>
  <c r="AK28" i="6"/>
  <c r="AJ46" i="6"/>
  <c r="AK19" i="6"/>
  <c r="AJ31" i="6"/>
  <c r="AI23" i="6"/>
  <c r="AI53" i="6"/>
  <c r="AK39" i="6"/>
  <c r="AI41" i="6"/>
  <c r="AJ38" i="6"/>
  <c r="AK44" i="6"/>
  <c r="AI38" i="6"/>
  <c r="AI22" i="6"/>
  <c r="AI18" i="6"/>
  <c r="AI51" i="6"/>
  <c r="AI31" i="6"/>
  <c r="AJ22" i="6"/>
  <c r="AJ50" i="6"/>
  <c r="AI47" i="6"/>
  <c r="AJ44" i="6"/>
  <c r="AI30" i="6"/>
  <c r="AK52" i="6"/>
  <c r="AJ35" i="6"/>
  <c r="AK32" i="6"/>
  <c r="AJ52" i="6"/>
  <c r="AI35" i="6"/>
  <c r="AJ32" i="6"/>
  <c r="AK20" i="6"/>
  <c r="AI29" i="6"/>
  <c r="AJ23" i="6"/>
  <c r="AJ20" i="6"/>
  <c r="AK43" i="6"/>
  <c r="AJ26" i="6"/>
  <c r="AJ43" i="6"/>
  <c r="AJ34" i="6"/>
  <c r="AI26" i="6"/>
  <c r="AC42" i="6"/>
  <c r="AG41" i="6" s="1"/>
  <c r="AG52" i="6"/>
  <c r="AG53" i="6"/>
  <c r="S17" i="6"/>
  <c r="AY17" i="6" s="1"/>
  <c r="AN39" i="6"/>
  <c r="AN33" i="6"/>
  <c r="AN46" i="6"/>
  <c r="AG46" i="6"/>
  <c r="AI24" i="6"/>
  <c r="AJ24" i="6"/>
  <c r="AK24" i="6"/>
  <c r="AG43" i="6"/>
  <c r="AK37" i="6"/>
  <c r="AI37" i="6"/>
  <c r="AJ37" i="6"/>
  <c r="AG50" i="6"/>
  <c r="AN50" i="6"/>
  <c r="AG47" i="6"/>
  <c r="AN37" i="6"/>
  <c r="AG48" i="6"/>
  <c r="AN49" i="6"/>
  <c r="AI48" i="6"/>
  <c r="AJ48" i="6"/>
  <c r="AN25" i="6"/>
  <c r="AN51" i="6"/>
  <c r="AG51" i="6"/>
  <c r="AN21" i="6"/>
  <c r="AJ45" i="6"/>
  <c r="AK45" i="6"/>
  <c r="AN30" i="6"/>
  <c r="AN45" i="6"/>
  <c r="AG45" i="6"/>
  <c r="AN38" i="6"/>
  <c r="AG44" i="6"/>
  <c r="AI36" i="6"/>
  <c r="AJ36" i="6"/>
  <c r="AK36" i="6"/>
  <c r="AN34" i="6"/>
  <c r="AJ17" i="6"/>
  <c r="AK17" i="6"/>
  <c r="AI49" i="6"/>
  <c r="AK49" i="6"/>
  <c r="AJ49" i="6"/>
  <c r="AN17" i="6"/>
  <c r="AG49" i="6"/>
  <c r="AN26" i="6"/>
  <c r="AN22" i="6"/>
  <c r="AI40" i="6"/>
  <c r="AJ40" i="6"/>
  <c r="AK42" i="6"/>
  <c r="AK30" i="6"/>
  <c r="AJ25" i="6"/>
  <c r="AK18" i="6"/>
  <c r="AK25" i="6"/>
  <c r="AK33" i="6"/>
  <c r="AJ28" i="6"/>
  <c r="AK21" i="6"/>
  <c r="AJ21" i="6"/>
  <c r="AK53" i="6"/>
  <c r="AK29" i="6"/>
  <c r="AK41" i="6"/>
  <c r="N8" i="9" l="1"/>
  <c r="K8" i="8" s="1"/>
  <c r="AT17" i="9"/>
  <c r="AO17" i="9"/>
  <c r="AW17" i="9" s="1"/>
  <c r="AG26" i="6"/>
  <c r="AM52" i="6"/>
  <c r="AM53" i="6"/>
  <c r="AG35" i="6"/>
  <c r="AG20" i="6"/>
  <c r="AM20" i="6" s="1"/>
  <c r="AG27" i="6"/>
  <c r="AM27" i="6" s="1"/>
  <c r="AG36" i="6"/>
  <c r="AM36" i="6" s="1"/>
  <c r="AG37" i="6"/>
  <c r="AG38" i="6"/>
  <c r="AM38" i="6" s="1"/>
  <c r="AG29" i="6"/>
  <c r="AM29" i="6" s="1"/>
  <c r="AG24" i="6"/>
  <c r="AM24" i="6" s="1"/>
  <c r="AG21" i="6"/>
  <c r="AM21" i="6" s="1"/>
  <c r="AG18" i="6"/>
  <c r="AM18" i="6" s="1"/>
  <c r="AG40" i="6"/>
  <c r="AM40" i="6" s="1"/>
  <c r="AN42" i="6"/>
  <c r="AG22" i="6"/>
  <c r="AM22" i="6" s="1"/>
  <c r="AG19" i="6"/>
  <c r="AM19" i="6" s="1"/>
  <c r="AG31" i="6"/>
  <c r="AM31" i="6" s="1"/>
  <c r="AG23" i="6"/>
  <c r="AM23" i="6" s="1"/>
  <c r="AG32" i="6"/>
  <c r="AM32" i="6" s="1"/>
  <c r="AG34" i="6"/>
  <c r="AM34" i="6" s="1"/>
  <c r="AG30" i="6"/>
  <c r="AM30" i="6" s="1"/>
  <c r="AG28" i="6"/>
  <c r="AM28" i="6" s="1"/>
  <c r="AG25" i="6"/>
  <c r="AM25" i="6" s="1"/>
  <c r="AG33" i="6"/>
  <c r="AM33" i="6" s="1"/>
  <c r="AG39" i="6"/>
  <c r="AM39" i="6" s="1"/>
  <c r="AG42" i="6"/>
  <c r="AM42" i="6" s="1"/>
  <c r="AG17" i="6"/>
  <c r="AL17" i="6" s="1"/>
  <c r="AO17" i="6" s="1"/>
  <c r="AW17" i="6" s="1"/>
  <c r="AM35" i="6"/>
  <c r="AM48" i="6"/>
  <c r="AM43" i="6"/>
  <c r="AM45" i="6"/>
  <c r="AM37" i="6"/>
  <c r="AM47" i="6"/>
  <c r="AM46" i="6"/>
  <c r="AM26" i="6"/>
  <c r="AM50" i="6"/>
  <c r="AM44" i="6"/>
  <c r="AM51" i="6"/>
  <c r="AM49" i="6"/>
  <c r="AM41" i="6"/>
  <c r="C58" i="6"/>
  <c r="C61" i="6" s="1"/>
  <c r="AA8" i="8"/>
  <c r="O8" i="8"/>
  <c r="Z8" i="8"/>
  <c r="Y8" i="8"/>
  <c r="X8" i="8"/>
  <c r="J8" i="8"/>
  <c r="I8" i="8"/>
  <c r="AP17" i="9" l="1"/>
  <c r="AL18" i="9" s="1"/>
  <c r="AZ17" i="9"/>
  <c r="BA17" i="9" s="1"/>
  <c r="AT18" i="9" s="1"/>
  <c r="Q9" i="9"/>
  <c r="AM17" i="6"/>
  <c r="AP17" i="6" s="1"/>
  <c r="AL18" i="6" s="1"/>
  <c r="AT17" i="6"/>
  <c r="AZ18" i="9" l="1"/>
  <c r="BA18" i="9" s="1"/>
  <c r="AT19" i="9" s="1"/>
  <c r="AP18" i="9"/>
  <c r="AL19" i="9" s="1"/>
  <c r="AO18" i="9"/>
  <c r="AW18" i="9" s="1"/>
  <c r="V9" i="9"/>
  <c r="N8" i="8" s="1"/>
  <c r="AZ17" i="6"/>
  <c r="BA17" i="6" s="1"/>
  <c r="AT18" i="6" s="1"/>
  <c r="AO18" i="6"/>
  <c r="AW18" i="6" s="1"/>
  <c r="B2" i="6"/>
  <c r="AO19" i="9" l="1"/>
  <c r="AW19" i="9" s="1"/>
  <c r="AZ19" i="9"/>
  <c r="AZ18" i="6"/>
  <c r="BA18" i="6" s="1"/>
  <c r="AT19" i="6" s="1"/>
  <c r="AP18" i="6"/>
  <c r="AL19" i="6" s="1"/>
  <c r="C71" i="6"/>
  <c r="BA19" i="9" l="1"/>
  <c r="AT20" i="9" s="1"/>
  <c r="AP19" i="9"/>
  <c r="AL20" i="9" s="1"/>
  <c r="AO19" i="6"/>
  <c r="AW19" i="6" s="1"/>
  <c r="AZ19" i="6" s="1"/>
  <c r="F8" i="6"/>
  <c r="E8" i="6"/>
  <c r="AO20" i="9" l="1"/>
  <c r="AW20" i="9" s="1"/>
  <c r="AP19" i="6"/>
  <c r="AL20" i="6" s="1"/>
  <c r="BA19" i="6"/>
  <c r="AT20" i="6" s="1"/>
  <c r="AP5" i="6"/>
  <c r="R9" i="6"/>
  <c r="AO5" i="6"/>
  <c r="W9" i="6"/>
  <c r="L8" i="6"/>
  <c r="I8" i="6"/>
  <c r="J8" i="6"/>
  <c r="H8" i="6"/>
  <c r="AZ20" i="9" l="1"/>
  <c r="BA20" i="9" s="1"/>
  <c r="AT21" i="9" s="1"/>
  <c r="AP20" i="9"/>
  <c r="AL21" i="9" s="1"/>
  <c r="AO20" i="6"/>
  <c r="AW20" i="6" s="1"/>
  <c r="AZ20" i="6" s="1"/>
  <c r="AZ21" i="9" l="1"/>
  <c r="BA21" i="9" s="1"/>
  <c r="AT22" i="9" s="1"/>
  <c r="AP21" i="9"/>
  <c r="AL22" i="9" s="1"/>
  <c r="AO21" i="9"/>
  <c r="AW21" i="9" s="1"/>
  <c r="BA20" i="6"/>
  <c r="AT21" i="6" s="1"/>
  <c r="AP20" i="6"/>
  <c r="AL21" i="6" s="1"/>
  <c r="Q9" i="6"/>
  <c r="V9" i="6" s="1"/>
  <c r="AO22" i="9" l="1"/>
  <c r="AW22" i="9" s="1"/>
  <c r="AZ22" i="9"/>
  <c r="BA22" i="9" s="1"/>
  <c r="AT23" i="9" s="1"/>
  <c r="AO21" i="6"/>
  <c r="AW21" i="6" s="1"/>
  <c r="AZ21" i="6" s="1"/>
  <c r="BA21" i="6" s="1"/>
  <c r="AT22" i="6" s="1"/>
  <c r="F14" i="6"/>
  <c r="G14" i="6" s="1"/>
  <c r="H14" i="6" s="1"/>
  <c r="I14" i="6" s="1"/>
  <c r="J14" i="6" s="1"/>
  <c r="K14" i="6" s="1"/>
  <c r="L14" i="6" s="1"/>
  <c r="M14" i="6" s="1"/>
  <c r="N14" i="6" s="1"/>
  <c r="O14" i="6" s="1"/>
  <c r="P14" i="6" s="1"/>
  <c r="Q14" i="6" s="1"/>
  <c r="R14" i="6" s="1"/>
  <c r="S14" i="6" s="1"/>
  <c r="T14" i="6" s="1"/>
  <c r="U14" i="6" s="1"/>
  <c r="V14" i="6" s="1"/>
  <c r="W14" i="6" s="1"/>
  <c r="X14" i="6" s="1"/>
  <c r="Y14" i="6" s="1"/>
  <c r="Z14" i="6" s="1"/>
  <c r="AA14" i="6" s="1"/>
  <c r="AB14" i="6" s="1"/>
  <c r="AC14" i="6" s="1"/>
  <c r="AD14" i="6" s="1"/>
  <c r="AE14" i="6" s="1"/>
  <c r="AF14" i="6" s="1"/>
  <c r="AG14" i="6" s="1"/>
  <c r="AH14" i="6" s="1"/>
  <c r="AI14" i="6" s="1"/>
  <c r="AJ14" i="6" s="1"/>
  <c r="AK14" i="6" s="1"/>
  <c r="AL14" i="6" s="1"/>
  <c r="AM14" i="6" s="1"/>
  <c r="AN14" i="6" s="1"/>
  <c r="AO14" i="6" s="1"/>
  <c r="AP14" i="6" s="1"/>
  <c r="AQ14" i="6" s="1"/>
  <c r="AR14" i="6" s="1"/>
  <c r="AS14" i="6" s="1"/>
  <c r="AT14" i="6" s="1"/>
  <c r="AU14" i="6" s="1"/>
  <c r="AV14" i="6" s="1"/>
  <c r="AW14" i="6" s="1"/>
  <c r="AX14" i="6" s="1"/>
  <c r="AY14" i="6" s="1"/>
  <c r="AZ14" i="6" s="1"/>
  <c r="BA14" i="6" s="1"/>
  <c r="BB14" i="6" s="1"/>
  <c r="BC14" i="6" s="1"/>
  <c r="BD14" i="6" s="1"/>
  <c r="AP22" i="9" l="1"/>
  <c r="AL23" i="9" s="1"/>
  <c r="AP21" i="6"/>
  <c r="AL22" i="6" s="1"/>
  <c r="C33" i="6"/>
  <c r="C34" i="6" s="1"/>
  <c r="C40" i="6"/>
  <c r="C50" i="6"/>
  <c r="B48" i="6"/>
  <c r="Y16" i="6"/>
  <c r="C42" i="6" a="1"/>
  <c r="AO23" i="9" l="1"/>
  <c r="AW23" i="9" s="1"/>
  <c r="AO22" i="6"/>
  <c r="AW22" i="6" s="1"/>
  <c r="C42" i="6"/>
  <c r="C43" i="6" s="1"/>
  <c r="AZ23" i="9" l="1"/>
  <c r="BA23" i="9" s="1"/>
  <c r="AT24" i="9" s="1"/>
  <c r="AP23" i="9"/>
  <c r="AL24" i="9" s="1"/>
  <c r="AZ22" i="6"/>
  <c r="BA22" i="6" s="1"/>
  <c r="AT23" i="6" s="1"/>
  <c r="AP22" i="6"/>
  <c r="AL23" i="6" s="1"/>
  <c r="AO24" i="9" l="1"/>
  <c r="AW24" i="9" s="1"/>
  <c r="AZ24" i="9"/>
  <c r="BA24" i="9" s="1"/>
  <c r="AT25" i="9" s="1"/>
  <c r="AO23" i="6"/>
  <c r="AW23" i="6" s="1"/>
  <c r="AZ23" i="6" s="1"/>
  <c r="U8" i="8"/>
  <c r="AP24" i="9" l="1"/>
  <c r="AL25" i="9" s="1"/>
  <c r="AP23" i="6"/>
  <c r="AL24" i="6" s="1"/>
  <c r="BA23" i="6"/>
  <c r="AT24" i="6" s="1"/>
  <c r="Q8" i="8"/>
  <c r="AO25" i="9" l="1"/>
  <c r="AW25" i="9" s="1"/>
  <c r="AO24" i="6"/>
  <c r="AW24" i="6" s="1"/>
  <c r="AZ24" i="6" s="1"/>
  <c r="AZ25" i="9" l="1"/>
  <c r="BA25" i="9"/>
  <c r="AT26" i="9" s="1"/>
  <c r="AP25" i="9"/>
  <c r="AL26" i="9" s="1"/>
  <c r="AP24" i="6"/>
  <c r="AL25" i="6" s="1"/>
  <c r="BA24" i="6"/>
  <c r="AT25" i="6" s="1"/>
  <c r="AO26" i="9" l="1"/>
  <c r="AW26" i="9" s="1"/>
  <c r="AZ26" i="9" s="1"/>
  <c r="AO25" i="6"/>
  <c r="AW25" i="6" s="1"/>
  <c r="AZ25" i="6" s="1"/>
  <c r="AP8" i="6"/>
  <c r="BA26" i="9" l="1"/>
  <c r="AT27" i="9" s="1"/>
  <c r="AP26" i="9"/>
  <c r="AL27" i="9" s="1"/>
  <c r="AP25" i="6"/>
  <c r="AL26" i="6" s="1"/>
  <c r="BA25" i="6"/>
  <c r="AT26" i="6" s="1"/>
  <c r="M8" i="6"/>
  <c r="N8" i="6" s="1"/>
  <c r="AO8" i="6"/>
  <c r="AO27" i="9" l="1"/>
  <c r="AW27" i="9" s="1"/>
  <c r="AZ27" i="9"/>
  <c r="AO26" i="6"/>
  <c r="AW26" i="6" s="1"/>
  <c r="AZ26" i="6" s="1"/>
  <c r="BA26" i="6" s="1"/>
  <c r="AT27" i="6" s="1"/>
  <c r="BA27" i="9" l="1"/>
  <c r="AT28" i="9" s="1"/>
  <c r="AP27" i="9"/>
  <c r="AL28" i="9" s="1"/>
  <c r="AP26" i="6"/>
  <c r="AL27" i="6" s="1"/>
  <c r="AO27" i="6" s="1"/>
  <c r="AW27" i="6" s="1"/>
  <c r="AZ27" i="6" s="1"/>
  <c r="BA27" i="6" s="1"/>
  <c r="AT28" i="6" s="1"/>
  <c r="AO28" i="9" l="1"/>
  <c r="AW28" i="9" s="1"/>
  <c r="AP27" i="6"/>
  <c r="AL28" i="6" s="1"/>
  <c r="AO28" i="6" s="1"/>
  <c r="AW28" i="6" s="1"/>
  <c r="AZ28" i="6" s="1"/>
  <c r="BA28" i="6" s="1"/>
  <c r="AT29" i="6" s="1"/>
  <c r="AZ28" i="9" l="1"/>
  <c r="BA28" i="9" s="1"/>
  <c r="AT29" i="9" s="1"/>
  <c r="AP28" i="9"/>
  <c r="AL29" i="9" s="1"/>
  <c r="AP28" i="6"/>
  <c r="AL29" i="6" s="1"/>
  <c r="AO29" i="6" s="1"/>
  <c r="AW29" i="6" s="1"/>
  <c r="AZ29" i="6" s="1"/>
  <c r="BA29" i="6" s="1"/>
  <c r="AT30" i="6" s="1"/>
  <c r="AO29" i="9" l="1"/>
  <c r="AW29" i="9" s="1"/>
  <c r="AZ29" i="9"/>
  <c r="BA29" i="9" s="1"/>
  <c r="AT30" i="9" s="1"/>
  <c r="AP29" i="6"/>
  <c r="AL30" i="6" s="1"/>
  <c r="AO30" i="6" s="1"/>
  <c r="AW30" i="6" s="1"/>
  <c r="AZ30" i="6" s="1"/>
  <c r="AP29" i="9" l="1"/>
  <c r="AL30" i="9" s="1"/>
  <c r="BA30" i="6"/>
  <c r="AT31" i="6" s="1"/>
  <c r="AP30" i="6"/>
  <c r="AL31" i="6" s="1"/>
  <c r="AO30" i="9" l="1"/>
  <c r="AW30" i="9" s="1"/>
  <c r="AO31" i="6"/>
  <c r="AW31" i="6" s="1"/>
  <c r="AZ30" i="9" l="1"/>
  <c r="BA30" i="9"/>
  <c r="AT31" i="9" s="1"/>
  <c r="AP30" i="9"/>
  <c r="AL31" i="9" s="1"/>
  <c r="AP31" i="6"/>
  <c r="AL32" i="6" s="1"/>
  <c r="AO32" i="6" s="1"/>
  <c r="AW32" i="6" s="1"/>
  <c r="AZ31" i="6"/>
  <c r="BA31" i="6" s="1"/>
  <c r="AT32" i="6" s="1"/>
  <c r="AO31" i="9" l="1"/>
  <c r="AW31" i="9" s="1"/>
  <c r="AZ31" i="9"/>
  <c r="BA31" i="9"/>
  <c r="AT32" i="9" s="1"/>
  <c r="AZ32" i="6"/>
  <c r="BA32" i="6" s="1"/>
  <c r="AT33" i="6" s="1"/>
  <c r="AP32" i="6"/>
  <c r="AL33" i="6" s="1"/>
  <c r="AP31" i="9" l="1"/>
  <c r="AL32" i="9" s="1"/>
  <c r="AO33" i="6"/>
  <c r="AW33" i="6" s="1"/>
  <c r="AZ33" i="6" s="1"/>
  <c r="BA33" i="6" s="1"/>
  <c r="AT34" i="6" s="1"/>
  <c r="AO32" i="9" l="1"/>
  <c r="AW32" i="9" s="1"/>
  <c r="AP33" i="6"/>
  <c r="AL34" i="6" s="1"/>
  <c r="AZ32" i="9" l="1"/>
  <c r="BA32" i="9" s="1"/>
  <c r="AT33" i="9" s="1"/>
  <c r="AP32" i="9"/>
  <c r="AL33" i="9" s="1"/>
  <c r="AO34" i="6"/>
  <c r="AW34" i="6" s="1"/>
  <c r="AO33" i="9" l="1"/>
  <c r="AW33" i="9" s="1"/>
  <c r="AZ33" i="9"/>
  <c r="BA33" i="9" s="1"/>
  <c r="AT34" i="9" s="1"/>
  <c r="AZ34" i="6"/>
  <c r="BA34" i="6" s="1"/>
  <c r="AT35" i="6" s="1"/>
  <c r="AP34" i="6"/>
  <c r="AL35" i="6" s="1"/>
  <c r="AP33" i="9" l="1"/>
  <c r="AL34" i="9" s="1"/>
  <c r="AO35" i="6"/>
  <c r="AW35" i="6" s="1"/>
  <c r="AZ35" i="6" s="1"/>
  <c r="AO34" i="9" l="1"/>
  <c r="AW34" i="9" s="1"/>
  <c r="BA35" i="6"/>
  <c r="AT36" i="6" s="1"/>
  <c r="AP35" i="6"/>
  <c r="AL36" i="6" s="1"/>
  <c r="AZ34" i="9" l="1"/>
  <c r="BA34" i="9"/>
  <c r="AT35" i="9" s="1"/>
  <c r="AP34" i="9"/>
  <c r="AL35" i="9" s="1"/>
  <c r="AO36" i="6"/>
  <c r="AW36" i="6" s="1"/>
  <c r="AZ36" i="6" s="1"/>
  <c r="BA36" i="6" s="1"/>
  <c r="AT37" i="6" s="1"/>
  <c r="AO35" i="9" l="1"/>
  <c r="AW35" i="9" s="1"/>
  <c r="AZ35" i="9"/>
  <c r="BA35" i="9" s="1"/>
  <c r="AT36" i="9" s="1"/>
  <c r="AP36" i="6"/>
  <c r="AL37" i="6" s="1"/>
  <c r="AP35" i="9" l="1"/>
  <c r="AL36" i="9" s="1"/>
  <c r="AO37" i="6"/>
  <c r="AW37" i="6" s="1"/>
  <c r="AO36" i="9" l="1"/>
  <c r="AW36" i="9" s="1"/>
  <c r="AZ37" i="6"/>
  <c r="BA37" i="6"/>
  <c r="AT38" i="6" s="1"/>
  <c r="AP37" i="6"/>
  <c r="AL38" i="6" s="1"/>
  <c r="AZ36" i="9" l="1"/>
  <c r="BA36" i="9"/>
  <c r="AT37" i="9" s="1"/>
  <c r="AP36" i="9"/>
  <c r="AL37" i="9" s="1"/>
  <c r="AO38" i="6"/>
  <c r="AW38" i="6" s="1"/>
  <c r="AZ38" i="6" s="1"/>
  <c r="AO37" i="9" l="1"/>
  <c r="AW37" i="9" s="1"/>
  <c r="AZ37" i="9"/>
  <c r="BA37" i="9"/>
  <c r="AT38" i="9" s="1"/>
  <c r="BA38" i="6"/>
  <c r="AT39" i="6" s="1"/>
  <c r="AP38" i="6"/>
  <c r="AL39" i="6" s="1"/>
  <c r="AP37" i="9" l="1"/>
  <c r="AL38" i="9" s="1"/>
  <c r="AO39" i="6"/>
  <c r="AW39" i="6" s="1"/>
  <c r="AZ39" i="6" s="1"/>
  <c r="BA39" i="6" s="1"/>
  <c r="AT40" i="6" s="1"/>
  <c r="AO38" i="9" l="1"/>
  <c r="AW38" i="9" s="1"/>
  <c r="AP39" i="6"/>
  <c r="AL40" i="6" s="1"/>
  <c r="AZ38" i="9" l="1"/>
  <c r="BA38" i="9" s="1"/>
  <c r="AT39" i="9" s="1"/>
  <c r="AP38" i="9"/>
  <c r="AL39" i="9" s="1"/>
  <c r="AO40" i="6"/>
  <c r="AW40" i="6" s="1"/>
  <c r="AO39" i="9" l="1"/>
  <c r="AW39" i="9" s="1"/>
  <c r="AZ39" i="9" s="1"/>
  <c r="AZ40" i="6"/>
  <c r="BA40" i="6" s="1"/>
  <c r="AT41" i="6" s="1"/>
  <c r="AP40" i="6"/>
  <c r="AL41" i="6" s="1"/>
  <c r="AP39" i="9" l="1"/>
  <c r="AL40" i="9" s="1"/>
  <c r="BA39" i="9"/>
  <c r="AT40" i="9" s="1"/>
  <c r="AO41" i="6"/>
  <c r="AW41" i="6" s="1"/>
  <c r="AZ41" i="6" s="1"/>
  <c r="AO40" i="9" l="1"/>
  <c r="AW40" i="9" s="1"/>
  <c r="AZ40" i="9" s="1"/>
  <c r="BA41" i="6"/>
  <c r="AT42" i="6" s="1"/>
  <c r="AP41" i="6"/>
  <c r="AL42" i="6" s="1"/>
  <c r="AP40" i="9" l="1"/>
  <c r="AL41" i="9" s="1"/>
  <c r="BA40" i="9"/>
  <c r="AT41" i="9" s="1"/>
  <c r="AO42" i="6"/>
  <c r="AW42" i="6" s="1"/>
  <c r="AZ42" i="6" s="1"/>
  <c r="BA42" i="6" s="1"/>
  <c r="AT43" i="6" s="1"/>
  <c r="AO41" i="9" l="1"/>
  <c r="AW41" i="9" s="1"/>
  <c r="AZ41" i="9" s="1"/>
  <c r="AP42" i="6"/>
  <c r="AL43" i="6" s="1"/>
  <c r="AP41" i="9" l="1"/>
  <c r="AL42" i="9" s="1"/>
  <c r="BA41" i="9"/>
  <c r="AT42" i="9" s="1"/>
  <c r="AO43" i="6"/>
  <c r="AW43" i="6" s="1"/>
  <c r="S9" i="6"/>
  <c r="AO42" i="9" l="1"/>
  <c r="AW42" i="9" s="1"/>
  <c r="AZ42" i="9" s="1"/>
  <c r="AZ43" i="6"/>
  <c r="BA43" i="6" s="1"/>
  <c r="AT44" i="6" s="1"/>
  <c r="AP43" i="6"/>
  <c r="AL44" i="6" s="1"/>
  <c r="AC9" i="6"/>
  <c r="T9" i="6"/>
  <c r="AP42" i="9" l="1"/>
  <c r="AL43" i="9" s="1"/>
  <c r="BA42" i="9"/>
  <c r="AT43" i="9" s="1"/>
  <c r="U9" i="6"/>
  <c r="AO44" i="6"/>
  <c r="AW44" i="6" s="1"/>
  <c r="AO43" i="9" l="1"/>
  <c r="AW43" i="9" s="1"/>
  <c r="AZ43" i="9" s="1"/>
  <c r="AP44" i="6"/>
  <c r="AL45" i="6" s="1"/>
  <c r="AZ44" i="6"/>
  <c r="AP43" i="9" l="1"/>
  <c r="AL44" i="9" s="1"/>
  <c r="BA43" i="9"/>
  <c r="AT44" i="9" s="1"/>
  <c r="AO45" i="6"/>
  <c r="AW45" i="6" s="1"/>
  <c r="BA44" i="6"/>
  <c r="AO44" i="9" l="1"/>
  <c r="AW44" i="9" s="1"/>
  <c r="AZ44" i="9" s="1"/>
  <c r="AT45" i="6"/>
  <c r="AP45" i="6"/>
  <c r="AL46" i="6" s="1"/>
  <c r="AP44" i="9" l="1"/>
  <c r="AL45" i="9" s="1"/>
  <c r="BA44" i="9"/>
  <c r="AT45" i="9" s="1"/>
  <c r="AO46" i="6"/>
  <c r="AW46" i="6" s="1"/>
  <c r="AZ45" i="6"/>
  <c r="BA45" i="6" l="1"/>
  <c r="AO45" i="9"/>
  <c r="AW45" i="9" s="1"/>
  <c r="AZ45" i="9" s="1"/>
  <c r="AT46" i="6"/>
  <c r="AP46" i="6"/>
  <c r="AL47" i="6" s="1"/>
  <c r="AP45" i="9" l="1"/>
  <c r="AL46" i="9" s="1"/>
  <c r="BA45" i="9"/>
  <c r="AT46" i="9" s="1"/>
  <c r="AO47" i="6"/>
  <c r="AW47" i="6" s="1"/>
  <c r="AZ46" i="6"/>
  <c r="BA46" i="6" l="1"/>
  <c r="AO46" i="9"/>
  <c r="AW46" i="9" s="1"/>
  <c r="AZ46" i="9" s="1"/>
  <c r="AT47" i="6"/>
  <c r="AP47" i="6"/>
  <c r="AL48" i="6" s="1"/>
  <c r="AP46" i="9" l="1"/>
  <c r="AL47" i="9" s="1"/>
  <c r="BA46" i="9"/>
  <c r="AT47" i="9" s="1"/>
  <c r="AO48" i="6"/>
  <c r="AW48" i="6" s="1"/>
  <c r="AZ47" i="6"/>
  <c r="BA47" i="6" l="1"/>
  <c r="AO47" i="9"/>
  <c r="AW47" i="9" s="1"/>
  <c r="AZ47" i="9" s="1"/>
  <c r="AT48" i="6"/>
  <c r="AP48" i="6"/>
  <c r="AL49" i="6" s="1"/>
  <c r="AP47" i="9" l="1"/>
  <c r="AL48" i="9" s="1"/>
  <c r="BA47" i="9"/>
  <c r="AT48" i="9" s="1"/>
  <c r="AO49" i="6"/>
  <c r="AW49" i="6" s="1"/>
  <c r="AZ48" i="6"/>
  <c r="AO48" i="9" l="1"/>
  <c r="AW48" i="9" s="1"/>
  <c r="AZ48" i="9" s="1"/>
  <c r="BA48" i="6"/>
  <c r="AP49" i="6"/>
  <c r="AL50" i="6" s="1"/>
  <c r="AP48" i="9" l="1"/>
  <c r="AL49" i="9" s="1"/>
  <c r="BA48" i="9"/>
  <c r="AT49" i="9" s="1"/>
  <c r="AO50" i="6"/>
  <c r="AW50" i="6" s="1"/>
  <c r="AT49" i="6"/>
  <c r="AO49" i="9" l="1"/>
  <c r="AW49" i="9" s="1"/>
  <c r="AZ49" i="9" s="1"/>
  <c r="AZ49" i="6"/>
  <c r="BA49" i="6" s="1"/>
  <c r="AT50" i="6" s="1"/>
  <c r="AP50" i="6"/>
  <c r="AL51" i="6" s="1"/>
  <c r="AP49" i="9" l="1"/>
  <c r="AL50" i="9" s="1"/>
  <c r="BA49" i="9"/>
  <c r="AT50" i="9" s="1"/>
  <c r="AZ50" i="6"/>
  <c r="BA50" i="6" s="1"/>
  <c r="AT51" i="6" s="1"/>
  <c r="AO51" i="6"/>
  <c r="AW51" i="6" s="1"/>
  <c r="AO50" i="9" l="1"/>
  <c r="AW50" i="9" s="1"/>
  <c r="AZ51" i="6"/>
  <c r="BA51" i="6" s="1"/>
  <c r="AT52" i="6" s="1"/>
  <c r="AP51" i="6"/>
  <c r="AL52" i="6" s="1"/>
  <c r="AP50" i="9" l="1"/>
  <c r="AL51" i="9" s="1"/>
  <c r="AZ50" i="9"/>
  <c r="BA50" i="9" s="1"/>
  <c r="AT51" i="9" s="1"/>
  <c r="AO52" i="6"/>
  <c r="AW52" i="6" s="1"/>
  <c r="AZ52" i="6" s="1"/>
  <c r="AO51" i="9" l="1"/>
  <c r="AW51" i="9" s="1"/>
  <c r="AZ51" i="9" s="1"/>
  <c r="BA52" i="6"/>
  <c r="AT53" i="6" s="1"/>
  <c r="AP52" i="6"/>
  <c r="AL53" i="6" s="1"/>
  <c r="AP51" i="9" l="1"/>
  <c r="AL52" i="9" s="1"/>
  <c r="BA51" i="9"/>
  <c r="AT52" i="9" s="1"/>
  <c r="AO53" i="6"/>
  <c r="AW53" i="6" s="1"/>
  <c r="X9" i="6" s="1"/>
  <c r="AO52" i="9" l="1"/>
  <c r="AW52" i="9" s="1"/>
  <c r="AZ52" i="9" s="1"/>
  <c r="AB9" i="9"/>
  <c r="AD9" i="9" s="1"/>
  <c r="S12" i="8" s="1"/>
  <c r="O8" i="9"/>
  <c r="L12" i="8" s="1"/>
  <c r="AE9" i="9"/>
  <c r="T12" i="8" s="1"/>
  <c r="S9" i="9"/>
  <c r="U9" i="9" s="1"/>
  <c r="M12" i="8" s="1"/>
  <c r="X9" i="9"/>
  <c r="P8" i="8" s="1"/>
  <c r="AZ53" i="6"/>
  <c r="AP53" i="6"/>
  <c r="AM8" i="6"/>
  <c r="BA53" i="6" l="1"/>
  <c r="AB9" i="6"/>
  <c r="AD9" i="6" s="1"/>
  <c r="T8" i="8"/>
  <c r="L8" i="8"/>
  <c r="S8" i="8"/>
  <c r="M8" i="8"/>
  <c r="Z9" i="9"/>
  <c r="R12" i="8" s="1"/>
  <c r="AG9" i="9"/>
  <c r="V12" i="8" s="1"/>
  <c r="AP52" i="9"/>
  <c r="AL53" i="9" s="1"/>
  <c r="BA52" i="9"/>
  <c r="AT53" i="9" s="1"/>
  <c r="AN8" i="6"/>
  <c r="O8" i="6"/>
  <c r="AE9" i="6"/>
  <c r="AJ8" i="6"/>
  <c r="AF9" i="6"/>
  <c r="Y9" i="6"/>
  <c r="V8" i="8" l="1"/>
  <c r="R8" i="8"/>
  <c r="AI8" i="9"/>
  <c r="W12" i="8" s="1"/>
  <c r="AO53" i="9"/>
  <c r="AW53" i="9" s="1"/>
  <c r="AZ53" i="9" s="1"/>
  <c r="Z9" i="6"/>
  <c r="AG9" i="6"/>
  <c r="AK8" i="9" l="1"/>
  <c r="W8" i="8"/>
  <c r="AP53" i="9"/>
  <c r="AL54" i="9" s="1"/>
  <c r="BA53" i="9"/>
  <c r="AT54" i="9" s="1"/>
  <c r="AI8" i="6"/>
  <c r="AK8" i="6" s="1"/>
  <c r="AO54" i="9" l="1"/>
  <c r="AW54" i="9" s="1"/>
  <c r="AZ54" i="9"/>
  <c r="BA54" i="9" s="1"/>
  <c r="AT55" i="9" s="1"/>
  <c r="AP54" i="9" l="1"/>
  <c r="AL55" i="9" s="1"/>
  <c r="AO55" i="9" l="1"/>
  <c r="AW55" i="9" s="1"/>
  <c r="AZ55" i="9" l="1"/>
  <c r="BA55" i="9"/>
  <c r="AT56" i="9" s="1"/>
  <c r="AP55" i="9"/>
  <c r="AL56" i="9" s="1"/>
  <c r="AO56" i="9" l="1"/>
  <c r="AW56" i="9" s="1"/>
  <c r="AZ56" i="9"/>
  <c r="BA56" i="9"/>
  <c r="AT57" i="9" s="1"/>
  <c r="AP56" i="9" l="1"/>
  <c r="AL57" i="9" s="1"/>
  <c r="AO57" i="9" l="1"/>
  <c r="AW57" i="9" s="1"/>
  <c r="AZ57" i="9" l="1"/>
  <c r="BA57" i="9" s="1"/>
  <c r="AT58" i="9" s="1"/>
  <c r="AP57" i="9"/>
  <c r="AL58" i="9" s="1"/>
  <c r="AO58" i="9" l="1"/>
  <c r="AW58" i="9" s="1"/>
  <c r="AZ58" i="9"/>
  <c r="BA58" i="9"/>
  <c r="AT59" i="9" s="1"/>
  <c r="AP58" i="9" l="1"/>
  <c r="AL59" i="9" s="1"/>
  <c r="AO59" i="9" l="1"/>
  <c r="AW59" i="9" s="1"/>
  <c r="AZ59" i="9" l="1"/>
  <c r="BA59" i="9"/>
  <c r="AT60" i="9" s="1"/>
  <c r="AP59" i="9"/>
  <c r="AL60" i="9" s="1"/>
  <c r="AO60" i="9" l="1"/>
  <c r="AW60" i="9" s="1"/>
  <c r="AZ60" i="9"/>
  <c r="BA60" i="9"/>
  <c r="AT61" i="9" s="1"/>
  <c r="AP60" i="9" l="1"/>
  <c r="AL61" i="9" s="1"/>
  <c r="AO61" i="9" l="1"/>
  <c r="AW61" i="9" s="1"/>
  <c r="AZ61" i="9" l="1"/>
  <c r="BA61" i="9"/>
  <c r="AT62" i="9" s="1"/>
  <c r="AP61" i="9"/>
  <c r="AL62" i="9" s="1"/>
  <c r="AO62" i="9" l="1"/>
  <c r="AW62" i="9" s="1"/>
  <c r="AZ62" i="9"/>
  <c r="BA62" i="9" s="1"/>
  <c r="AT63" i="9" s="1"/>
  <c r="AP62" i="9" l="1"/>
  <c r="AL63" i="9" s="1"/>
  <c r="AO63" i="9" l="1"/>
  <c r="AW63" i="9" s="1"/>
  <c r="AZ63" i="9" l="1"/>
  <c r="BA63" i="9" s="1"/>
  <c r="AT64" i="9" s="1"/>
  <c r="AP63" i="9"/>
  <c r="AL64" i="9" s="1"/>
  <c r="AO64" i="9" l="1"/>
  <c r="AW64" i="9" s="1"/>
  <c r="AZ64" i="9"/>
  <c r="BA64" i="9" s="1"/>
  <c r="AT65" i="9" s="1"/>
  <c r="AP64" i="9" l="1"/>
  <c r="AL65" i="9" s="1"/>
  <c r="AO65" i="9" l="1"/>
  <c r="AW65" i="9" s="1"/>
  <c r="AZ65" i="9" l="1"/>
  <c r="BA65" i="9" s="1"/>
  <c r="AP65" i="9"/>
</calcChain>
</file>

<file path=xl/comments1.xml><?xml version="1.0" encoding="utf-8"?>
<comments xmlns="http://schemas.openxmlformats.org/spreadsheetml/2006/main">
  <authors>
    <author>Simon Lundgren</author>
  </authors>
  <commentList>
    <comment ref="S11" authorId="0" shapeId="0">
      <text>
        <r>
          <rPr>
            <sz val="9"/>
            <color indexed="81"/>
            <rFont val="Tahoma"/>
            <family val="2"/>
          </rPr>
          <t>Accumulated depreciation opening balance</t>
        </r>
      </text>
    </comment>
  </commentList>
</comments>
</file>

<file path=xl/comments2.xml><?xml version="1.0" encoding="utf-8"?>
<comments xmlns="http://schemas.openxmlformats.org/spreadsheetml/2006/main">
  <authors>
    <author>Simon Lundgren</author>
  </authors>
  <commentList>
    <comment ref="B9" authorId="0" shapeId="0">
      <text>
        <r>
          <rPr>
            <b/>
            <sz val="9"/>
            <color indexed="81"/>
            <rFont val="Tahoma"/>
            <family val="2"/>
          </rPr>
          <t>Simon Lundgren:</t>
        </r>
        <r>
          <rPr>
            <sz val="9"/>
            <color indexed="81"/>
            <rFont val="Tahoma"/>
            <family val="2"/>
          </rPr>
          <t xml:space="preserve">
Will not affect calculations.</t>
        </r>
      </text>
    </comment>
    <comment ref="B10" authorId="0" shapeId="0">
      <text>
        <r>
          <rPr>
            <sz val="9"/>
            <color indexed="81"/>
            <rFont val="Tahoma"/>
            <family val="2"/>
          </rPr>
          <t>"Yes" is the default value and means that details 
from this contract will be added to the summary sheet. 
If "No" is selected this sheet will be ignored.</t>
        </r>
      </text>
    </comment>
    <comment ref="AG16" authorId="0" shapeId="0">
      <text>
        <r>
          <rPr>
            <b/>
            <sz val="9"/>
            <color indexed="81"/>
            <rFont val="Tahoma"/>
            <family val="2"/>
          </rPr>
          <t>Simon Lundgren:</t>
        </r>
        <r>
          <rPr>
            <sz val="9"/>
            <color indexed="81"/>
            <rFont val="Tahoma"/>
            <family val="2"/>
          </rPr>
          <t xml:space="preserve">
Refers to the opening balance of each period/month. Equals "Lease liability opening balance" if no remeasurement is made.</t>
        </r>
      </text>
    </comment>
    <comment ref="AV16" authorId="0" shapeId="0">
      <text>
        <r>
          <rPr>
            <sz val="9"/>
            <color indexed="81"/>
            <rFont val="Tahoma"/>
            <family val="2"/>
          </rPr>
          <t xml:space="preserve">Enter an impairment as a positive amount. A lessee shall apply IAS 36 Impairment of Assets to determine whether the rightof-use asset is impaired and to account for any impairment loss identified. [IFRS16:33]
</t>
        </r>
      </text>
    </comment>
    <comment ref="AZ16" authorId="0" shapeId="0">
      <text>
        <r>
          <rPr>
            <sz val="9"/>
            <color indexed="81"/>
            <rFont val="Tahoma"/>
            <family val="2"/>
          </rPr>
          <t>A lessee shall apply the depreciation requirements in IAS 16 Property, Plant and Equipment in depreciating the right-of-use asset, subject to the requirements in paragraph 32. [IFRS16:30a,31]</t>
        </r>
      </text>
    </comment>
    <comment ref="BA16" authorId="0" shapeId="0">
      <text>
        <r>
          <rPr>
            <sz val="9"/>
            <color indexed="81"/>
            <rFont val="Tahoma"/>
            <family val="2"/>
          </rPr>
          <t>A lessee shall measure the right-of-use asset at cost: (a) less any accumulated depreciation and any accumulated impairment losses; and (b) adjusted for any remeasurement of the lease liability specified in paragraph 36(c). Depreciation [IFRS16:30].</t>
        </r>
      </text>
    </comment>
    <comment ref="B18" authorId="0" shapeId="0">
      <text>
        <r>
          <rPr>
            <sz val="9"/>
            <color indexed="81"/>
            <rFont val="Tahoma"/>
            <family val="2"/>
          </rPr>
          <t>Can be either "Initial assessment" or "Reassessment" (lease modification). 
Use "Initial assessment" only the first time you add the agreement or if you want to replace all data and start over.</t>
        </r>
      </text>
    </comment>
    <comment ref="B19" authorId="0" shapeId="0">
      <text>
        <r>
          <rPr>
            <sz val="9"/>
            <color indexed="81"/>
            <rFont val="Tahoma"/>
            <family val="2"/>
          </rPr>
          <t>Enter the date when the reassessment should be effective from. 
It should be a date between the lease commencement date and the contractual ending date.</t>
        </r>
      </text>
    </comment>
    <comment ref="B20" authorId="0" shapeId="0">
      <text>
        <r>
          <rPr>
            <sz val="9"/>
            <color indexed="81"/>
            <rFont val="Tahoma"/>
            <family val="2"/>
          </rPr>
          <t>Optional. You can add a comment to the current assessment which will be shown on all rows. 
This could be valuable when several reassessments/lease modifications are made during a lease contract, so you easily could recall the reason why a specific modification was made.</t>
        </r>
      </text>
    </comment>
    <comment ref="B24" authorId="0" shapeId="0">
      <text>
        <r>
          <rPr>
            <sz val="9"/>
            <color indexed="81"/>
            <rFont val="Tahoma"/>
            <family val="2"/>
          </rPr>
          <t>The date on which a lessor makes an underlying asset available for use by a lessee.</t>
        </r>
      </text>
    </comment>
    <comment ref="B27" authorId="0" shapeId="0">
      <text>
        <r>
          <rPr>
            <sz val="9"/>
            <color indexed="81"/>
            <rFont val="Tahoma"/>
            <family val="2"/>
          </rPr>
          <t>[IFRS16:18-21]</t>
        </r>
      </text>
    </comment>
    <comment ref="B28" authorId="0" shapeId="0">
      <text>
        <r>
          <rPr>
            <sz val="9"/>
            <color indexed="81"/>
            <rFont val="Tahoma"/>
            <family val="2"/>
          </rPr>
          <t>[IFRS16:18-21]</t>
        </r>
      </text>
    </comment>
    <comment ref="B30" authorId="0" shapeId="0">
      <text>
        <r>
          <rPr>
            <sz val="9"/>
            <color indexed="81"/>
            <rFont val="Tahoma"/>
            <family val="2"/>
          </rPr>
          <t>[IFRS16:18-21]</t>
        </r>
      </text>
    </comment>
    <comment ref="B31" authorId="0" shapeId="0">
      <text>
        <r>
          <rPr>
            <sz val="9"/>
            <color indexed="81"/>
            <rFont val="Tahoma"/>
            <family val="2"/>
          </rPr>
          <t>[IFRS16:18-21]</t>
        </r>
      </text>
    </comment>
    <comment ref="B33" authorId="0" shapeId="0">
      <text>
        <r>
          <rPr>
            <sz val="9"/>
            <color indexed="81"/>
            <rFont val="Tahoma"/>
            <family val="2"/>
          </rPr>
          <t xml:space="preserve">An entity shall determine the lease term as the non-cancellable period of a lease, together with both: 
(a) periods covered by an option to extend the lease if the lessee is reasonably certain to exercise that option; and 
(b) periods covered by an option to terminate the lease if the lessee is reasonably certain not to exercise that option. 
[IFRS16:18]
</t>
        </r>
      </text>
    </comment>
    <comment ref="B38" authorId="0" shapeId="0">
      <text>
        <r>
          <rPr>
            <sz val="9"/>
            <color indexed="81"/>
            <rFont val="Tahoma"/>
            <family val="2"/>
          </rPr>
          <t>If the lease transfers ownership of the underlying asset to the lessee by the end 
of the lease term or if the cost of the right-of-use asset reflects that the lessee 
will exercise a purchase option, the lessee shall depreciate the right-of-use asset 
from the commencement date to the end of the useful life of the underlying asset. 
[IFRS16:32]</t>
        </r>
      </text>
    </comment>
    <comment ref="B39" authorId="0" shapeId="0">
      <text>
        <r>
          <rPr>
            <sz val="9"/>
            <color indexed="81"/>
            <rFont val="Tahoma"/>
            <family val="2"/>
          </rPr>
          <t>A lessee shall apply the depreciation requirements in IAS 16 Property, Plant and
Equipment in depreciating the right-of-use asset, subject to the requirements in
paragraph 32. [IFRS16:31]</t>
        </r>
      </text>
    </comment>
    <comment ref="B48" authorId="0" shapeId="0">
      <text>
        <r>
          <rPr>
            <sz val="9"/>
            <color indexed="81"/>
            <rFont val="Tahoma"/>
            <family val="2"/>
          </rPr>
          <t>Payments made by a lessee to a lessor for the right to use an underlying asset during the lease term, excluding variable lease payments.</t>
        </r>
      </text>
    </comment>
    <comment ref="B55" authorId="0" shapeId="0">
      <text>
        <r>
          <rPr>
            <sz val="9"/>
            <color indexed="81"/>
            <rFont val="Tahoma"/>
            <family val="2"/>
          </rPr>
          <t xml:space="preserve">The rate of interest that causes the present value of (a) the lease payments
and (b) the unguaranteed residual value to equal the sum of (i) the fair value
of the underlying asset and (ii) any initial direct costs of the lessor. </t>
        </r>
      </text>
    </comment>
    <comment ref="B56" authorId="0" shapeId="0">
      <text>
        <r>
          <rPr>
            <sz val="9"/>
            <color indexed="81"/>
            <rFont val="Tahoma"/>
            <family val="2"/>
          </rPr>
          <t>The rate of interest that a lessee would have to pay to borrow over a similar
term, and with a similar security, the funds necessary to obtain an asset of
a similar value to the right-of-use asset in a similar economic environment.</t>
        </r>
      </text>
    </comment>
    <comment ref="B61" authorId="0" shapeId="0">
      <text>
        <r>
          <rPr>
            <sz val="9"/>
            <color indexed="81"/>
            <rFont val="Tahoma"/>
            <family val="2"/>
          </rPr>
          <t>Discount rates are used to determine the present value of the lease payments.</t>
        </r>
      </text>
    </comment>
    <comment ref="B63" authorId="0" shapeId="0">
      <text>
        <r>
          <rPr>
            <sz val="9"/>
            <color indexed="81"/>
            <rFont val="Tahoma"/>
            <family val="2"/>
          </rPr>
          <t>Amounts expected to be payable by the lessee under residual value
guarantees are included in the measurement of the lease liability. [IFRS16:27c]
A residual value guarantee is a guarantee made to a lessor by a party 
unrelated to the lessor that the value (or part of the value) of an 
underlying asset at the end of a lease will be at least a specified amount. 
[IFRS16:Appendix A, Defined terms]
An unguaranteed residual value is always excluded from the determination 
of the lease payments by the lessee.</t>
        </r>
      </text>
    </comment>
    <comment ref="B64" authorId="0" shapeId="0">
      <text>
        <r>
          <rPr>
            <sz val="9"/>
            <color indexed="81"/>
            <rFont val="Tahoma"/>
            <family val="2"/>
          </rPr>
          <t>The exercise price of a purchase option is included in 
the measurement of the lease liability if the lessee is reasonably
certain to exercise that option (assessed considering the factors
described in paragraphs B37–B40).
[IFRS16:27d]</t>
        </r>
      </text>
    </comment>
    <comment ref="B65" authorId="0" shapeId="0">
      <text>
        <r>
          <rPr>
            <sz val="9"/>
            <color indexed="81"/>
            <rFont val="Tahoma"/>
            <family val="2"/>
          </rPr>
          <t>Payments of penalties for terminating the lease is included in 
the measurement of the lease liability if the lease term
reflects the lessee exercising an option to terminate the lease
[IFRS16:27e]</t>
        </r>
      </text>
    </comment>
    <comment ref="B68" authorId="0" shapeId="0">
      <text>
        <r>
          <rPr>
            <sz val="9"/>
            <color indexed="81"/>
            <rFont val="Tahoma"/>
            <family val="2"/>
          </rPr>
          <t>The cost of the right-of-use asset shall comprise
any lease payments made at or before the 
commencement date, lessany lease incentives received. [IFRS16:24b]
Lease incentives are payments made by a lessor to a lessee 
associated with a lease,or the reimbursement or assumption 
by a lessor of costs of a lessee. [IFRS16:Appendix A, Defined terms]</t>
        </r>
      </text>
    </comment>
    <comment ref="B69" authorId="0" shapeId="0">
      <text>
        <r>
          <rPr>
            <sz val="9"/>
            <color indexed="81"/>
            <rFont val="Tahoma"/>
            <family val="2"/>
          </rPr>
          <t>The cost of the right-of-use asset shall comprise
any initial direct costs incurred by the lessee. [IFRS16:24c]
Initial direct costs are incremental costs of obtaining a lease that 
would not have been incurred if the lease had not been obtained, 
except for such costs incurred by a manufacturer or dealer lessor in connection
with a finance lease. [IFRS16:Appendix A, Defined terms]</t>
        </r>
      </text>
    </comment>
    <comment ref="B70" authorId="0" shapeId="0">
      <text>
        <r>
          <rPr>
            <sz val="9"/>
            <color indexed="81"/>
            <rFont val="Tahoma"/>
            <family val="2"/>
          </rPr>
          <t>The cost of the right-of-use asset shall comprise
an estimate of costs to be incurred by the lessee in dismantling and
removing the underlying asset, restoring the site on which it is located
or restoring the underlying asset to the condition required by the
terms and conditions of the lease, unless those costs are incurred to
produce inventories. The lessee incurs the obligation for those costs
either at the commencement date or as a consequence of having used
the underlying asset during a particular period. [IFRS16:24d]
Also refer to [IFRS16:25]</t>
        </r>
      </text>
    </comment>
    <comment ref="B71" authorId="0" shapeId="0">
      <text>
        <r>
          <rPr>
            <sz val="9"/>
            <color indexed="81"/>
            <rFont val="Tahoma"/>
            <family val="2"/>
          </rPr>
          <t>Overwrite if not equal to guaranteed residual value</t>
        </r>
      </text>
    </comment>
  </commentList>
</comments>
</file>

<file path=xl/comments3.xml><?xml version="1.0" encoding="utf-8"?>
<comments xmlns="http://schemas.openxmlformats.org/spreadsheetml/2006/main">
  <authors>
    <author>Simon Lundgren</author>
  </authors>
  <commentList>
    <comment ref="B9" authorId="0" shapeId="0">
      <text>
        <r>
          <rPr>
            <b/>
            <sz val="9"/>
            <color indexed="81"/>
            <rFont val="Tahoma"/>
            <family val="2"/>
          </rPr>
          <t>Simon Lundgren:</t>
        </r>
        <r>
          <rPr>
            <sz val="9"/>
            <color indexed="81"/>
            <rFont val="Tahoma"/>
            <family val="2"/>
          </rPr>
          <t xml:space="preserve">
Will not affect calculations.</t>
        </r>
      </text>
    </comment>
    <comment ref="B10" authorId="0" shapeId="0">
      <text>
        <r>
          <rPr>
            <sz val="9"/>
            <color indexed="81"/>
            <rFont val="Tahoma"/>
            <family val="2"/>
          </rPr>
          <t>"Yes" is the default value and means that details 
from this contract will be added to the summary sheet. 
If "No" is selected this sheet will be ignored.</t>
        </r>
      </text>
    </comment>
    <comment ref="AG16" authorId="0" shapeId="0">
      <text>
        <r>
          <rPr>
            <b/>
            <sz val="9"/>
            <color indexed="81"/>
            <rFont val="Tahoma"/>
            <family val="2"/>
          </rPr>
          <t>Simon Lundgren:</t>
        </r>
        <r>
          <rPr>
            <sz val="9"/>
            <color indexed="81"/>
            <rFont val="Tahoma"/>
            <family val="2"/>
          </rPr>
          <t xml:space="preserve">
Refers to the opening balance of each period/month. Equals "Lease liability opening balance" if no remeasurement is made.</t>
        </r>
      </text>
    </comment>
    <comment ref="AV16" authorId="0" shapeId="0">
      <text>
        <r>
          <rPr>
            <sz val="9"/>
            <color indexed="81"/>
            <rFont val="Tahoma"/>
            <family val="2"/>
          </rPr>
          <t xml:space="preserve">Enter an impairment as a positive amount. A lessee shall apply IAS 36 Impairment of Assets to determine whether the rightof-use asset is impaired and to account for any impairment loss identified. [IFRS16:33]
</t>
        </r>
      </text>
    </comment>
    <comment ref="AZ16" authorId="0" shapeId="0">
      <text>
        <r>
          <rPr>
            <sz val="9"/>
            <color indexed="81"/>
            <rFont val="Tahoma"/>
            <family val="2"/>
          </rPr>
          <t>A lessee shall apply the depreciation requirements in IAS 16 Property, Plant and Equipment in depreciating the right-of-use asset, subject to the requirements in paragraph 32. [IFRS16:30a,31]</t>
        </r>
      </text>
    </comment>
    <comment ref="BA16" authorId="0" shapeId="0">
      <text>
        <r>
          <rPr>
            <sz val="9"/>
            <color indexed="81"/>
            <rFont val="Tahoma"/>
            <family val="2"/>
          </rPr>
          <t>A lessee shall measure the right-of-use asset at cost: (a) less any accumulated depreciation and any accumulated impairment losses; and (b) adjusted for any remeasurement of the lease liability specified in paragraph 36(c). Depreciation [IFRS16:30].</t>
        </r>
      </text>
    </comment>
    <comment ref="B18" authorId="0" shapeId="0">
      <text>
        <r>
          <rPr>
            <sz val="9"/>
            <color indexed="81"/>
            <rFont val="Tahoma"/>
            <family val="2"/>
          </rPr>
          <t>Can be either "Initial assessment" or "Reassessment" (lease modification). 
Use "Initial assessment" only the first time you add the agreement or if you want to replace all data and start over.</t>
        </r>
      </text>
    </comment>
    <comment ref="B19" authorId="0" shapeId="0">
      <text>
        <r>
          <rPr>
            <sz val="9"/>
            <color indexed="81"/>
            <rFont val="Tahoma"/>
            <family val="2"/>
          </rPr>
          <t>Enter the date when the reassessment should be effective from. 
It should be a date between the lease commencement date and the contractual ending date.</t>
        </r>
      </text>
    </comment>
    <comment ref="B20" authorId="0" shapeId="0">
      <text>
        <r>
          <rPr>
            <sz val="9"/>
            <color indexed="81"/>
            <rFont val="Tahoma"/>
            <family val="2"/>
          </rPr>
          <t>Optional. You can add a comment to the current assessment which will be shown on all rows. 
This could be valuable when several reassessments/lease modifications are made during a lease contract, so you easily could recall the reason why a specific modification was made.</t>
        </r>
      </text>
    </comment>
    <comment ref="B24" authorId="0" shapeId="0">
      <text>
        <r>
          <rPr>
            <sz val="9"/>
            <color indexed="81"/>
            <rFont val="Tahoma"/>
            <family val="2"/>
          </rPr>
          <t>The date on which a lessor makes an underlying asset available for use by a lessee.</t>
        </r>
      </text>
    </comment>
    <comment ref="B27" authorId="0" shapeId="0">
      <text>
        <r>
          <rPr>
            <sz val="9"/>
            <color indexed="81"/>
            <rFont val="Tahoma"/>
            <family val="2"/>
          </rPr>
          <t>[IFRS16:18-21]</t>
        </r>
      </text>
    </comment>
    <comment ref="B28" authorId="0" shapeId="0">
      <text>
        <r>
          <rPr>
            <sz val="9"/>
            <color indexed="81"/>
            <rFont val="Tahoma"/>
            <family val="2"/>
          </rPr>
          <t>[IFRS16:18-21]</t>
        </r>
      </text>
    </comment>
    <comment ref="B30" authorId="0" shapeId="0">
      <text>
        <r>
          <rPr>
            <sz val="9"/>
            <color indexed="81"/>
            <rFont val="Tahoma"/>
            <family val="2"/>
          </rPr>
          <t>[IFRS16:18-21]</t>
        </r>
      </text>
    </comment>
    <comment ref="B31" authorId="0" shapeId="0">
      <text>
        <r>
          <rPr>
            <sz val="9"/>
            <color indexed="81"/>
            <rFont val="Tahoma"/>
            <family val="2"/>
          </rPr>
          <t>[IFRS16:18-21]</t>
        </r>
      </text>
    </comment>
    <comment ref="B33" authorId="0" shapeId="0">
      <text>
        <r>
          <rPr>
            <sz val="9"/>
            <color indexed="81"/>
            <rFont val="Tahoma"/>
            <family val="2"/>
          </rPr>
          <t xml:space="preserve">An entity shall determine the lease term as the non-cancellable period of a lease, together with both: 
(a) periods covered by an option to extend the lease if the lessee is reasonably certain to exercise that option; and 
(b) periods covered by an option to terminate the lease if the lessee is reasonably certain not to exercise that option. 
[IFRS16:18]
</t>
        </r>
      </text>
    </comment>
    <comment ref="B38" authorId="0" shapeId="0">
      <text>
        <r>
          <rPr>
            <sz val="9"/>
            <color indexed="81"/>
            <rFont val="Tahoma"/>
            <family val="2"/>
          </rPr>
          <t>If the lease transfers ownership of the underlying asset to the lessee by the end 
of the lease term or if the cost of the right-of-use asset reflects that the lessee 
will exercise a purchase option, the lessee shall depreciate the right-of-use asset 
from the commencement date to the end of the useful life of the underlying asset. 
[IFRS16:32]</t>
        </r>
      </text>
    </comment>
    <comment ref="B39" authorId="0" shapeId="0">
      <text>
        <r>
          <rPr>
            <sz val="9"/>
            <color indexed="81"/>
            <rFont val="Tahoma"/>
            <family val="2"/>
          </rPr>
          <t>A lessee shall apply the depreciation requirements in IAS 16 Property, Plant and
Equipment in depreciating the right-of-use asset, subject to the requirements in
paragraph 32. [IFRS16:31]</t>
        </r>
      </text>
    </comment>
    <comment ref="B48" authorId="0" shapeId="0">
      <text>
        <r>
          <rPr>
            <sz val="9"/>
            <color indexed="81"/>
            <rFont val="Tahoma"/>
            <family val="2"/>
          </rPr>
          <t>Payments made by a lessee to a lessor for the right to use an underlying asset during the lease term, excluding variable lease payments.</t>
        </r>
      </text>
    </comment>
    <comment ref="B55" authorId="0" shapeId="0">
      <text>
        <r>
          <rPr>
            <sz val="9"/>
            <color indexed="81"/>
            <rFont val="Tahoma"/>
            <family val="2"/>
          </rPr>
          <t xml:space="preserve">The rate of interest that causes the present value of (a) the lease payments
and (b) the unguaranteed residual value to equal the sum of (i) the fair value
of the underlying asset and (ii) any initial direct costs of the lessor. </t>
        </r>
      </text>
    </comment>
    <comment ref="B56" authorId="0" shapeId="0">
      <text>
        <r>
          <rPr>
            <sz val="9"/>
            <color indexed="81"/>
            <rFont val="Tahoma"/>
            <family val="2"/>
          </rPr>
          <t>The rate of interest that a lessee would have to pay to borrow over a similar
term, and with a similar security, the funds necessary to obtain an asset of
a similar value to the right-of-use asset in a similar economic environment.</t>
        </r>
      </text>
    </comment>
    <comment ref="B61" authorId="0" shapeId="0">
      <text>
        <r>
          <rPr>
            <sz val="9"/>
            <color indexed="81"/>
            <rFont val="Tahoma"/>
            <family val="2"/>
          </rPr>
          <t>Discount rates are used to determine the present value of the lease payments.</t>
        </r>
      </text>
    </comment>
    <comment ref="B63" authorId="0" shapeId="0">
      <text>
        <r>
          <rPr>
            <sz val="9"/>
            <color indexed="81"/>
            <rFont val="Tahoma"/>
            <family val="2"/>
          </rPr>
          <t>Amounts expected to be payable by the lessee under residual value
guarantees are included in the measurement of the lease liability. [IFRS16:27c]
A residual value guarantee is a guarantee made to a lessor by a party 
unrelated to the lessor that the value (or part of the value) of an 
underlying asset at the end of a lease will be at least a specified amount. 
[IFRS16:Appendix A, Defined terms]
An unguaranteed residual value is always excluded from the determination 
of the lease payments by the lessee.</t>
        </r>
      </text>
    </comment>
    <comment ref="B64" authorId="0" shapeId="0">
      <text>
        <r>
          <rPr>
            <sz val="9"/>
            <color indexed="81"/>
            <rFont val="Tahoma"/>
            <family val="2"/>
          </rPr>
          <t>The exercise price of a purchase option is included in 
the measurement of the lease liability if the lessee is reasonably
certain to exercise that option (assessed considering the factors
described in paragraphs B37–B40).
[IFRS16:27d]</t>
        </r>
      </text>
    </comment>
    <comment ref="B65" authorId="0" shapeId="0">
      <text>
        <r>
          <rPr>
            <sz val="9"/>
            <color indexed="81"/>
            <rFont val="Tahoma"/>
            <family val="2"/>
          </rPr>
          <t>Payments of penalties for terminating the lease is included in 
the measurement of the lease liability if the lease term
reflects the lessee exercising an option to terminate the lease
[IFRS16:27e]</t>
        </r>
      </text>
    </comment>
    <comment ref="B68" authorId="0" shapeId="0">
      <text>
        <r>
          <rPr>
            <sz val="9"/>
            <color indexed="81"/>
            <rFont val="Tahoma"/>
            <family val="2"/>
          </rPr>
          <t>The cost of the right-of-use asset shall comprise
any lease payments made at or before the 
commencement date, lessany lease incentives received. [IFRS16:24b]
Lease incentives are payments made by a lessor to a lessee 
associated with a lease,or the reimbursement or assumption 
by a lessor of costs of a lessee. [IFRS16:Appendix A, Defined terms]</t>
        </r>
      </text>
    </comment>
    <comment ref="B69" authorId="0" shapeId="0">
      <text>
        <r>
          <rPr>
            <sz val="9"/>
            <color indexed="81"/>
            <rFont val="Tahoma"/>
            <family val="2"/>
          </rPr>
          <t>The cost of the right-of-use asset shall comprise
any initial direct costs incurred by the lessee. [IFRS16:24c]
Initial direct costs are incremental costs of obtaining a lease that 
would not have been incurred if the lease had not been obtained, 
except for such costs incurred by a manufacturer or dealer lessor in connection
with a finance lease. [IFRS16:Appendix A, Defined terms]</t>
        </r>
      </text>
    </comment>
    <comment ref="B70" authorId="0" shapeId="0">
      <text>
        <r>
          <rPr>
            <sz val="9"/>
            <color indexed="81"/>
            <rFont val="Tahoma"/>
            <family val="2"/>
          </rPr>
          <t>The cost of the right-of-use asset shall comprise
an estimate of costs to be incurred by the lessee in dismantling and
removing the underlying asset, restoring the site on which it is located
or restoring the underlying asset to the condition required by the
terms and conditions of the lease, unless those costs are incurred to
produce inventories. The lessee incurs the obligation for those costs
either at the commencement date or as a consequence of having used
the underlying asset during a particular period. [IFRS16:24d]
Also refer to [IFRS16:25]</t>
        </r>
      </text>
    </comment>
    <comment ref="B71" authorId="0" shapeId="0">
      <text>
        <r>
          <rPr>
            <sz val="9"/>
            <color indexed="81"/>
            <rFont val="Tahoma"/>
            <family val="2"/>
          </rPr>
          <t>Overwrite if not equal to guaranteed residual value</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<sst xmlns="http://schemas.openxmlformats.org/spreadsheetml/2006/main" count="911" uniqueCount="158">
  <si>
    <t>Reasonably certain of exercising Extension Option?</t>
  </si>
  <si>
    <t>Extension Period Ending Date</t>
  </si>
  <si>
    <t>Reasonably certain of exercising Termination Option?</t>
  </si>
  <si>
    <t>Termination Option Start Date</t>
  </si>
  <si>
    <t>Reasonably certain of exercising Purchase Option?</t>
  </si>
  <si>
    <t>General</t>
  </si>
  <si>
    <t>Non-cancellable period ending date</t>
  </si>
  <si>
    <t>Contractual lease term ending date</t>
  </si>
  <si>
    <t>Useful life of the right-of-use asset (years)</t>
  </si>
  <si>
    <t>Initial assessment</t>
  </si>
  <si>
    <t>End date of useful life</t>
  </si>
  <si>
    <t>Period</t>
  </si>
  <si>
    <t>Period index</t>
  </si>
  <si>
    <t>Object name</t>
  </si>
  <si>
    <t>Object type (e.g. car, premises)</t>
  </si>
  <si>
    <t>--&gt; Months</t>
  </si>
  <si>
    <t>Initial measurement of the lease liability</t>
  </si>
  <si>
    <t>Interest rate implicit in the lease [IFRS16:26]</t>
  </si>
  <si>
    <t>Lessee’s incremental borrowing rate [IFRS16:26]</t>
  </si>
  <si>
    <t>Fixed Lease Payment [IFRS16:27a]</t>
  </si>
  <si>
    <t>Residual value guarantees [IFRS16:27c]</t>
  </si>
  <si>
    <t>Depreciation term ending date [IFRS16:31-32]</t>
  </si>
  <si>
    <t>Initial Measurement of Right-of-use Asset</t>
  </si>
  <si>
    <t>Variable Lease Payments - [IFRS16:27b]</t>
  </si>
  <si>
    <t>Date modified</t>
  </si>
  <si>
    <t>Payment frequency (fixed payment)</t>
  </si>
  <si>
    <t>Less, Non-lease Components (e.g. services included in agreement)</t>
  </si>
  <si>
    <t>Lease liability</t>
  </si>
  <si>
    <t>Non-lease Components</t>
  </si>
  <si>
    <t>PV of lease payments</t>
  </si>
  <si>
    <t>PV of Residual value guarantees</t>
  </si>
  <si>
    <t>PV of Exercise price of a purchase option</t>
  </si>
  <si>
    <t xml:space="preserve">PV of Penalties for terminating the lease </t>
  </si>
  <si>
    <t>Repayment [IFRS16:36b]</t>
  </si>
  <si>
    <t>Interest [IFRS16:36a,37,38a]</t>
  </si>
  <si>
    <t>Lease liability closing balance [IFRS16:36]</t>
  </si>
  <si>
    <t>Lease liability opening balance [IFRS16:26-28]</t>
  </si>
  <si>
    <t>Type</t>
  </si>
  <si>
    <t>Lease Commencement Date</t>
  </si>
  <si>
    <t>Car</t>
  </si>
  <si>
    <t>Currency</t>
  </si>
  <si>
    <t>Lease Payments made on or before commencement date [IFRS16:24b]</t>
  </si>
  <si>
    <t>Initial direct cost [IFRS16:24c]</t>
  </si>
  <si>
    <t>Estimated cost for dismantling restoring asset [IFRS16:24d]</t>
  </si>
  <si>
    <t>Rate selection</t>
  </si>
  <si>
    <t>Total lease payments</t>
  </si>
  <si>
    <t>Penalties for terminating the lease [IFRS16:27e]</t>
  </si>
  <si>
    <t>Exercise price of a purchase option [IFRS16:27d]</t>
  </si>
  <si>
    <t>Remeasuring / Reassessment effect [IFRS16:36c,38b]</t>
  </si>
  <si>
    <t>Months left until Non-cancellable period ending date</t>
  </si>
  <si>
    <t>Opening Balance</t>
  </si>
  <si>
    <t>Adjustment of Lease Liability [IFRS16:30b]</t>
  </si>
  <si>
    <t>Closing Balance</t>
  </si>
  <si>
    <t>Months left until Depreciation term ending date</t>
  </si>
  <si>
    <t>Version</t>
  </si>
  <si>
    <t>Comment</t>
  </si>
  <si>
    <t>Test comment</t>
  </si>
  <si>
    <t>General information</t>
  </si>
  <si>
    <t>Adjustment of costs included in right of use asset</t>
  </si>
  <si>
    <t>Lease term</t>
  </si>
  <si>
    <t>Depreciation term</t>
  </si>
  <si>
    <t>No</t>
  </si>
  <si>
    <t>Discount Rate [IFRS16:26]</t>
  </si>
  <si>
    <t>Object type</t>
  </si>
  <si>
    <t>Period start</t>
  </si>
  <si>
    <t>Period end</t>
  </si>
  <si>
    <t>Commencement Date</t>
  </si>
  <si>
    <t>Depreciation term ending date</t>
  </si>
  <si>
    <t>&lt;= 1 year</t>
  </si>
  <si>
    <t>&gt; 5 years</t>
  </si>
  <si>
    <t>Lease payments</t>
  </si>
  <si>
    <t>Interest</t>
  </si>
  <si>
    <t>Repayment</t>
  </si>
  <si>
    <t>Depreciation</t>
  </si>
  <si>
    <t>Year-to-date</t>
  </si>
  <si>
    <t>Period-end lease liability</t>
  </si>
  <si>
    <t>2-5 years</t>
  </si>
  <si>
    <t>Right-of-use Asset</t>
  </si>
  <si>
    <t>Impairment</t>
  </si>
  <si>
    <t>Modification</t>
  </si>
  <si>
    <t>OB period</t>
  </si>
  <si>
    <t>Termination</t>
  </si>
  <si>
    <t>CB period</t>
  </si>
  <si>
    <t>Commencement</t>
  </si>
  <si>
    <t>Prior to current period</t>
  </si>
  <si>
    <t>In current period</t>
  </si>
  <si>
    <t>Right-of-use Asset - original cost</t>
  </si>
  <si>
    <t>Right-of-use Asset - carrying amount</t>
  </si>
  <si>
    <t>Check</t>
  </si>
  <si>
    <t>Total</t>
  </si>
  <si>
    <t>Right-of-use Asset - accumulated depreciation</t>
  </si>
  <si>
    <t>Section 1 - Inputs</t>
  </si>
  <si>
    <t>Section 2 - Details</t>
  </si>
  <si>
    <t>Assessment specific</t>
  </si>
  <si>
    <t>Current period</t>
  </si>
  <si>
    <t>From Summary</t>
  </si>
  <si>
    <t>From Table</t>
  </si>
  <si>
    <t>Guaranteed Residual Value [IFRS16:27c]</t>
  </si>
  <si>
    <t>Residual Value</t>
  </si>
  <si>
    <t>Link</t>
  </si>
  <si>
    <t>Summary lease agreements</t>
  </si>
  <si>
    <t>Residual value</t>
  </si>
  <si>
    <t>Section 3 - Summary</t>
  </si>
  <si>
    <t>Effective from date (if reassessment, skip otherwise)</t>
  </si>
  <si>
    <t>Exercise price of a purchase option (if reasonably certain)</t>
  </si>
  <si>
    <t>Penalties for terminating the lease (if reasonably certain)</t>
  </si>
  <si>
    <t>Lease Payments made on or before commencement date</t>
  </si>
  <si>
    <t>Initial direct cost</t>
  </si>
  <si>
    <t>Estimated cost for dismantling restoring asset</t>
  </si>
  <si>
    <t>Added/Acquired</t>
  </si>
  <si>
    <t>Interest expenses</t>
  </si>
  <si>
    <t>Lease liability closing balance</t>
  </si>
  <si>
    <t>In period</t>
  </si>
  <si>
    <t>Right-of-use asset cost closing balance</t>
  </si>
  <si>
    <t>Right-of-use asset carrying amount</t>
  </si>
  <si>
    <t>Right-of-use asset cost opening balance</t>
  </si>
  <si>
    <t>Right-of-use asset</t>
  </si>
  <si>
    <t>Accumulated depreciation closing balance</t>
  </si>
  <si>
    <t>of which
&lt;= 1 year</t>
  </si>
  <si>
    <t>of which
2-5 years</t>
  </si>
  <si>
    <t>of which
&gt; 5 years</t>
  </si>
  <si>
    <t>Acc. depr. opening balance</t>
  </si>
  <si>
    <t>Impairment in period</t>
  </si>
  <si>
    <t>Modification in period</t>
  </si>
  <si>
    <t>Termination in period</t>
  </si>
  <si>
    <t>Added in period</t>
  </si>
  <si>
    <t>Include in summary sheet?</t>
  </si>
  <si>
    <t>Yes</t>
  </si>
  <si>
    <t>Info at current period end</t>
  </si>
  <si>
    <t>Depreciation in period</t>
  </si>
  <si>
    <t>Test agreement</t>
  </si>
  <si>
    <t>Is the selected interest rate annual or monthly?</t>
  </si>
  <si>
    <t>Monthly Discount Rate [IFRS16:26]</t>
  </si>
  <si>
    <t>Monthy Discount Rate [IFRS16:26]</t>
  </si>
  <si>
    <t>Incremental (IBR)</t>
  </si>
  <si>
    <t>Annual</t>
  </si>
  <si>
    <t>Simple or 12th root interest conversion?</t>
  </si>
  <si>
    <t>12th root</t>
  </si>
  <si>
    <t>denna måste justeras med räntan conversion</t>
  </si>
  <si>
    <t>Annually</t>
  </si>
  <si>
    <t>Index</t>
  </si>
  <si>
    <t>Variable lease payments that depend on an index or rate?</t>
  </si>
  <si>
    <t>Payments that depend on a rate</t>
  </si>
  <si>
    <t>Payments that depend on an index</t>
  </si>
  <si>
    <t>Section 1.1 - Variable lease payments</t>
  </si>
  <si>
    <t>Payment frequency</t>
  </si>
  <si>
    <t>Initial payment amount</t>
  </si>
  <si>
    <t>First month of payment</t>
  </si>
  <si>
    <t>Payment increase frequency</t>
  </si>
  <si>
    <t>Increase rate</t>
  </si>
  <si>
    <t>First month of increase</t>
  </si>
  <si>
    <t>Start index</t>
  </si>
  <si>
    <t>Index change date</t>
  </si>
  <si>
    <t>New index</t>
  </si>
  <si>
    <t>Index (variable lease payments)</t>
  </si>
  <si>
    <t>as it decides from which date we should reassess the values (i.e. "effective from date" if reassessment)</t>
  </si>
  <si>
    <t>Monthly</t>
  </si>
  <si>
    <t>LeaseTemplate (2)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</si>
</sst>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0.00\ &quot;kr&quot;;[Red]\-#,##0.00\ &quot;kr&quot;"/>
    <numFmt numFmtId="165" formatCode="_-* #,##0.00_-;\-* #,##0.00_-;_-* &quot;-&quot;??_-;_-@_-"/>
    <numFmt numFmtId="166" formatCode="0.000%"/>
    <numFmt numFmtId="167" formatCode="_-* #,##0_-;\-* #,##0_-;_-* &quot;-&quot;??_-;_-@_-"/>
    <numFmt numFmtId="168" formatCode="_-* #,##0.0000_-;\-* #,##0.0000_-;_-* &quot;-&quot;??_-;_-@_-"/>
    <numFmt numFmtId="169" formatCode="0.0%"/>
    <numFmt numFmtId="170" formatCode="[$-409]d\-mmm\-yy;@"/>
  </numFmts>
  <fonts count="27" x14ac:knownFonts="1">
    <font>
      <sz val="11"/>
      <color theme="1"/>
      <name val="Calibri"/>
      <family val="2"/>
      <scheme val="minor"/>
    </font>
    <font>
      <sz val="11"/>
      <color theme="1"/>
      <name val="Calibri"/>
      <family val="2"/>
      <scheme val="minor"/>
    </font>
    <font>
      <sz val="11"/>
      <color rgb="FF3F3F76"/>
      <name val="Calibri"/>
      <family val="2"/>
      <scheme val="minor"/>
    </font>
    <font>
      <b/>
      <sz val="11"/>
      <color rgb="FF3F3F3F"/>
      <name val="Calibri"/>
      <family val="2"/>
      <scheme val="minor"/>
    </font>
    <font>
      <sz val="11"/>
      <color rgb="FFFF0000"/>
      <name val="Calibri"/>
      <family val="2"/>
      <scheme val="minor"/>
    </font>
    <font>
      <b/>
      <sz val="11"/>
      <color theme="1"/>
      <name val="Calibri"/>
      <family val="2"/>
      <scheme val="minor"/>
    </font>
    <font>
      <sz val="9"/>
      <color indexed="81"/>
      <name val="Tahoma"/>
      <family val="2"/>
    </font>
    <font>
      <b/>
      <sz val="9"/>
      <color indexed="81"/>
      <name val="Tahoma"/>
      <family val="2"/>
    </font>
    <font>
      <sz val="11"/>
      <color rgb="FF0000FF"/>
      <name val="Calibri"/>
      <family val="2"/>
      <scheme val="minor"/>
    </font>
    <font>
      <sz val="10"/>
      <name val="Arial"/>
      <family val="2"/>
    </font>
    <font>
      <b/>
      <sz val="22"/>
      <color theme="1"/>
      <name val="Calibri"/>
      <family val="2"/>
      <scheme val="minor"/>
    </font>
    <font>
      <b/>
      <sz val="9"/>
      <color rgb="FFFF0000"/>
      <name val="Calibri"/>
      <family val="2"/>
      <scheme val="minor"/>
    </font>
    <font>
      <sz val="9"/>
      <color rgb="FFFF0000"/>
      <name val="Calibri"/>
      <family val="2"/>
      <scheme val="minor"/>
    </font>
    <font>
      <sz val="14"/>
      <color rgb="FF000000"/>
      <name val="Calibri"/>
      <family val="2"/>
    </font>
    <font>
      <sz val="11"/>
      <color rgb="FF00B050"/>
      <name val="Calibri"/>
      <family val="2"/>
      <scheme val="minor"/>
    </font>
    <font>
      <b/>
      <sz val="16"/>
      <color rgb="FFFF0000"/>
      <name val="Calibri"/>
      <family val="2"/>
      <scheme val="minor"/>
    </font>
    <font>
      <b/>
      <u val="singleAccounting"/>
      <sz val="11"/>
      <color theme="1"/>
      <name val="Calibri"/>
      <family val="2"/>
      <scheme val="minor"/>
    </font>
    <font>
      <b/>
      <u val="doubleAccounting"/>
      <sz val="11"/>
      <color theme="1"/>
      <name val="Calibri"/>
      <family val="2"/>
      <scheme val="minor"/>
    </font>
    <font>
      <u val="doubleAccounting"/>
      <sz val="11"/>
      <color theme="1"/>
      <name val="Calibri"/>
      <family val="2"/>
      <scheme val="minor"/>
    </font>
    <font>
      <b/>
      <u val="doubleAccounting"/>
      <sz val="11"/>
      <name val="Calibri"/>
      <family val="2"/>
      <scheme val="minor"/>
    </font>
    <font>
      <u val="doubleAccounting"/>
      <sz val="11"/>
      <color rgb="FFFF0000"/>
      <name val="Calibri"/>
      <family val="2"/>
      <scheme val="minor"/>
    </font>
    <font>
      <sz val="11"/>
      <color rgb="FF000000"/>
      <name val="Calibri"/>
      <family val="2"/>
    </font>
    <font>
      <b/>
      <sz val="16"/>
      <color theme="1"/>
      <name val="Calibri"/>
      <family val="2"/>
      <scheme val="minor"/>
    </font>
    <font>
      <b/>
      <sz val="12"/>
      <color rgb="FFFF0000"/>
      <name val="Calibri"/>
      <family val="2"/>
      <scheme val="minor"/>
    </font>
    <font>
      <b/>
      <sz val="11"/>
      <color rgb="FFFA7D00"/>
      <name val="Calibri"/>
      <family val="2"/>
      <scheme val="minor"/>
    </font>
    <font>
      <i/>
      <sz val="11"/>
      <color rgb="FFFF0000"/>
      <name val="Calibri"/>
      <family val="2"/>
      <scheme val="minor"/>
    </font>
    <font>
      <u/>
      <sz val="11"/>
      <color theme="10"/>
      <name val="Calibri"/>
      <family val="2"/>
      <scheme val="minor"/>
    </font>
  </fonts>
  <fills count="16">
    <fill>
      <patternFill patternType="none"/>
    </fill>
    <fill>
      <patternFill patternType="gray125"/>
    </fill>
    <fill>
      <patternFill patternType="solid">
        <fgColor rgb="FFFFCC99"/>
      </patternFill>
    </fill>
    <fill>
      <patternFill patternType="solid">
        <fgColor rgb="FFF2F2F2"/>
      </patternFill>
    </fill>
    <fill>
      <patternFill patternType="solid">
        <fgColor theme="4" tint="0.79998168889431442"/>
        <bgColor indexed="64"/>
      </patternFill>
    </fill>
    <fill>
      <patternFill patternType="solid">
        <fgColor theme="5" tint="0.79998168889431442"/>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theme="5" tint="0.59999389629810485"/>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theme="0" tint="-0.249977111117893"/>
        <bgColor indexed="64"/>
      </patternFill>
    </fill>
    <fill>
      <patternFill patternType="solid">
        <fgColor theme="4" tint="0.39997558519241921"/>
        <bgColor indexed="64"/>
      </patternFill>
    </fill>
    <fill>
      <patternFill patternType="solid">
        <fgColor theme="7" tint="0.39997558519241921"/>
        <bgColor indexed="64"/>
      </patternFill>
    </fill>
  </fills>
  <borders count="20">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ck">
        <color rgb="FFFF0000"/>
      </left>
      <right/>
      <top style="thick">
        <color rgb="FFFF0000"/>
      </top>
      <bottom/>
      <diagonal/>
    </border>
    <border>
      <left/>
      <right/>
      <top style="thick">
        <color rgb="FFFF0000"/>
      </top>
      <bottom/>
      <diagonal/>
    </border>
    <border>
      <left/>
      <right style="thick">
        <color rgb="FFFF0000"/>
      </right>
      <top style="thick">
        <color rgb="FFFF0000"/>
      </top>
      <bottom/>
      <diagonal/>
    </border>
    <border>
      <left style="thick">
        <color rgb="FFFF0000"/>
      </left>
      <right/>
      <top/>
      <bottom/>
      <diagonal/>
    </border>
    <border>
      <left/>
      <right style="thick">
        <color rgb="FFFF0000"/>
      </right>
      <top/>
      <bottom/>
      <diagonal/>
    </border>
    <border>
      <left style="thick">
        <color rgb="FFFF0000"/>
      </left>
      <right/>
      <top/>
      <bottom style="thick">
        <color rgb="FFFF0000"/>
      </bottom>
      <diagonal/>
    </border>
    <border>
      <left/>
      <right/>
      <top/>
      <bottom style="thick">
        <color rgb="FFFF0000"/>
      </bottom>
      <diagonal/>
    </border>
    <border>
      <left/>
      <right style="thick">
        <color rgb="FFFF0000"/>
      </right>
      <top/>
      <bottom style="thick">
        <color rgb="FFFF0000"/>
      </bottom>
      <diagonal/>
    </border>
    <border>
      <left style="thin">
        <color rgb="FF3F3F3F"/>
      </left>
      <right style="thick">
        <color rgb="FFFF0000"/>
      </right>
      <top style="thin">
        <color rgb="FF3F3F3F"/>
      </top>
      <bottom style="thin">
        <color rgb="FF3F3F3F"/>
      </bottom>
      <diagonal/>
    </border>
    <border>
      <left style="thin">
        <color rgb="FF7F7F7F"/>
      </left>
      <right style="thick">
        <color rgb="FFFF0000"/>
      </right>
      <top style="thin">
        <color rgb="FF7F7F7F"/>
      </top>
      <bottom style="thin">
        <color rgb="FF7F7F7F"/>
      </bottom>
      <diagonal/>
    </border>
    <border>
      <left style="thin">
        <color rgb="FF7F7F7F"/>
      </left>
      <right style="thick">
        <color rgb="FFFF0000"/>
      </right>
      <top style="thin">
        <color rgb="FF7F7F7F"/>
      </top>
      <bottom style="thick">
        <color rgb="FFFF0000"/>
      </bottom>
      <diagonal/>
    </border>
    <border>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ck">
        <color rgb="FFFF0000"/>
      </right>
      <top style="thin">
        <color rgb="FF7F7F7F"/>
      </top>
      <bottom style="thin">
        <color rgb="FF3F3F3F"/>
      </bottom>
      <diagonal/>
    </border>
    <border>
      <left style="thin">
        <color indexed="64"/>
      </left>
      <right style="thick">
        <color rgb="FFFF0000"/>
      </right>
      <top style="thin">
        <color rgb="FF3F3F3F"/>
      </top>
      <bottom style="thin">
        <color rgb="FF3F3F3F"/>
      </bottom>
      <diagonal/>
    </border>
  </borders>
  <cellStyleXfs count="8">
    <xf numFmtId="0" fontId="0" fillId="0" borderId="0"/>
    <xf numFmtId="9" fontId="1" fillId="0" borderId="0" applyFont="0" applyFill="0" applyBorder="0" applyAlignment="0" applyProtection="0"/>
    <xf numFmtId="0" fontId="2" fillId="2" borderId="1" applyNumberFormat="0" applyAlignment="0" applyProtection="0"/>
    <xf numFmtId="0" fontId="3" fillId="3" borderId="2" applyNumberFormat="0" applyAlignment="0" applyProtection="0"/>
    <xf numFmtId="0" fontId="9" fillId="0" borderId="0"/>
    <xf numFmtId="165" fontId="1" fillId="0" borderId="0" applyFont="0" applyFill="0" applyBorder="0" applyAlignment="0" applyProtection="0"/>
    <xf numFmtId="0" fontId="24" fillId="3" borderId="1" applyNumberFormat="0" applyAlignment="0" applyProtection="0"/>
    <xf numFmtId="0" fontId="26" fillId="0" borderId="0" applyNumberFormat="0" applyFill="0" applyBorder="0" applyAlignment="0" applyProtection="0"/>
  </cellStyleXfs>
  <cellXfs count="125">
    <xf numFmtId="0" fontId="0" fillId="0" borderId="0" xfId="0"/>
    <xf numFmtId="0" fontId="5" fillId="0" borderId="0" xfId="0" applyFont="1"/>
    <xf numFmtId="14" fontId="2" fillId="2" borderId="1" xfId="2" applyNumberFormat="1"/>
    <xf numFmtId="14" fontId="0" fillId="0" borderId="0" xfId="0" applyNumberFormat="1"/>
    <xf numFmtId="2" fontId="0" fillId="0" borderId="0" xfId="0" applyNumberFormat="1"/>
    <xf numFmtId="10" fontId="0" fillId="0" borderId="0" xfId="0" applyNumberFormat="1"/>
    <xf numFmtId="0" fontId="4" fillId="0" borderId="0" xfId="0" applyFont="1"/>
    <xf numFmtId="0" fontId="10" fillId="0" borderId="0" xfId="0" applyFont="1"/>
    <xf numFmtId="164" fontId="0" fillId="0" borderId="0" xfId="0" applyNumberFormat="1"/>
    <xf numFmtId="22" fontId="0" fillId="0" borderId="0" xfId="0" applyNumberFormat="1"/>
    <xf numFmtId="0" fontId="11" fillId="0" borderId="0" xfId="0" applyFont="1" applyAlignment="1">
      <alignment horizontal="center"/>
    </xf>
    <xf numFmtId="0" fontId="12" fillId="0" borderId="0" xfId="0" applyFont="1" applyAlignment="1">
      <alignment horizontal="center"/>
    </xf>
    <xf numFmtId="0" fontId="15" fillId="0" borderId="3" xfId="0" applyFont="1" applyBorder="1"/>
    <xf numFmtId="0" fontId="0" fillId="0" borderId="4" xfId="0" applyBorder="1"/>
    <xf numFmtId="0" fontId="0" fillId="0" borderId="5" xfId="0" applyBorder="1"/>
    <xf numFmtId="0" fontId="5" fillId="5" borderId="0" xfId="0" applyFont="1" applyFill="1"/>
    <xf numFmtId="0" fontId="5" fillId="0" borderId="6" xfId="0" applyFont="1" applyBorder="1"/>
    <xf numFmtId="14" fontId="0" fillId="0" borderId="7" xfId="0" applyNumberFormat="1" applyBorder="1"/>
    <xf numFmtId="167" fontId="0" fillId="0" borderId="0" xfId="5" applyNumberFormat="1" applyFont="1" applyBorder="1"/>
    <xf numFmtId="0" fontId="0" fillId="0" borderId="8" xfId="0" applyBorder="1"/>
    <xf numFmtId="0" fontId="0" fillId="0" borderId="9" xfId="0" applyBorder="1"/>
    <xf numFmtId="167" fontId="0" fillId="6" borderId="9" xfId="5" applyNumberFormat="1" applyFont="1" applyFill="1" applyBorder="1"/>
    <xf numFmtId="0" fontId="0" fillId="0" borderId="6" xfId="0" applyBorder="1"/>
    <xf numFmtId="0" fontId="0" fillId="0" borderId="7" xfId="0" applyBorder="1"/>
    <xf numFmtId="0" fontId="8" fillId="2" borderId="12" xfId="2" applyFont="1" applyBorder="1"/>
    <xf numFmtId="0" fontId="8" fillId="2" borderId="12" xfId="2" applyFont="1" applyBorder="1" applyAlignment="1">
      <alignment horizontal="right"/>
    </xf>
    <xf numFmtId="14" fontId="8" fillId="2" borderId="12" xfId="2" applyNumberFormat="1" applyFont="1" applyBorder="1"/>
    <xf numFmtId="0" fontId="5" fillId="5" borderId="6" xfId="0" applyFont="1" applyFill="1" applyBorder="1"/>
    <xf numFmtId="0" fontId="0" fillId="5" borderId="7" xfId="0" applyFill="1" applyBorder="1"/>
    <xf numFmtId="14" fontId="3" fillId="3" borderId="11" xfId="3" quotePrefix="1" applyNumberFormat="1" applyBorder="1"/>
    <xf numFmtId="0" fontId="0" fillId="6" borderId="6" xfId="0" quotePrefix="1" applyFill="1" applyBorder="1" applyAlignment="1">
      <alignment horizontal="left" indent="1"/>
    </xf>
    <xf numFmtId="0" fontId="0" fillId="6" borderId="7" xfId="0" applyFill="1" applyBorder="1"/>
    <xf numFmtId="0" fontId="0" fillId="0" borderId="6" xfId="0" applyBorder="1" applyAlignment="1">
      <alignment horizontal="left" indent="1"/>
    </xf>
    <xf numFmtId="167" fontId="8" fillId="2" borderId="12" xfId="5" applyNumberFormat="1" applyFont="1" applyFill="1" applyBorder="1" applyAlignment="1">
      <alignment horizontal="right"/>
    </xf>
    <xf numFmtId="167" fontId="3" fillId="3" borderId="11" xfId="5" applyNumberFormat="1" applyFont="1" applyFill="1" applyBorder="1"/>
    <xf numFmtId="166" fontId="8" fillId="2" borderId="12" xfId="2" applyNumberFormat="1" applyFont="1" applyBorder="1"/>
    <xf numFmtId="166" fontId="3" fillId="3" borderId="11" xfId="1" quotePrefix="1" applyNumberFormat="1" applyFont="1" applyFill="1" applyBorder="1"/>
    <xf numFmtId="168" fontId="2" fillId="2" borderId="12" xfId="5" applyNumberFormat="1" applyFont="1" applyFill="1" applyBorder="1"/>
    <xf numFmtId="164" fontId="0" fillId="0" borderId="4" xfId="0" applyNumberFormat="1" applyBorder="1"/>
    <xf numFmtId="0" fontId="4" fillId="0" borderId="4" xfId="0" applyFont="1" applyBorder="1"/>
    <xf numFmtId="2" fontId="0" fillId="0" borderId="4" xfId="0" applyNumberFormat="1" applyBorder="1"/>
    <xf numFmtId="0" fontId="5" fillId="5" borderId="0" xfId="0" applyFont="1" applyFill="1" applyAlignment="1">
      <alignment wrapText="1"/>
    </xf>
    <xf numFmtId="0" fontId="4" fillId="0" borderId="5" xfId="0" applyFont="1" applyBorder="1"/>
    <xf numFmtId="14" fontId="14" fillId="0" borderId="6" xfId="0" applyNumberFormat="1" applyFont="1" applyBorder="1"/>
    <xf numFmtId="14" fontId="14" fillId="0" borderId="0" xfId="0" applyNumberFormat="1" applyFont="1"/>
    <xf numFmtId="167" fontId="0" fillId="0" borderId="0" xfId="5" applyNumberFormat="1" applyFont="1" applyFill="1" applyBorder="1"/>
    <xf numFmtId="167" fontId="0" fillId="0" borderId="9" xfId="5" applyNumberFormat="1" applyFont="1" applyFill="1" applyBorder="1"/>
    <xf numFmtId="0" fontId="5" fillId="5" borderId="0" xfId="0" applyFont="1" applyFill="1" applyAlignment="1">
      <alignment horizontal="right"/>
    </xf>
    <xf numFmtId="0" fontId="5" fillId="6" borderId="0" xfId="0" applyFont="1" applyFill="1"/>
    <xf numFmtId="0" fontId="5" fillId="6" borderId="0" xfId="0" applyFont="1" applyFill="1" applyAlignment="1">
      <alignment horizontal="right"/>
    </xf>
    <xf numFmtId="0" fontId="5" fillId="5" borderId="0" xfId="0" quotePrefix="1" applyFont="1" applyFill="1" applyAlignment="1">
      <alignment horizontal="right"/>
    </xf>
    <xf numFmtId="0" fontId="5" fillId="5" borderId="7" xfId="0" quotePrefix="1" applyFont="1" applyFill="1" applyBorder="1" applyAlignment="1">
      <alignment horizontal="right"/>
    </xf>
    <xf numFmtId="167" fontId="0" fillId="0" borderId="7" xfId="5" applyNumberFormat="1" applyFont="1" applyBorder="1"/>
    <xf numFmtId="0" fontId="0" fillId="0" borderId="10" xfId="0" applyBorder="1"/>
    <xf numFmtId="167" fontId="0" fillId="0" borderId="0" xfId="0" applyNumberFormat="1"/>
    <xf numFmtId="0" fontId="5" fillId="6" borderId="6" xfId="0" applyFont="1" applyFill="1" applyBorder="1"/>
    <xf numFmtId="0" fontId="5" fillId="4" borderId="0" xfId="0" applyFont="1" applyFill="1" applyAlignment="1">
      <alignment wrapText="1"/>
    </xf>
    <xf numFmtId="0" fontId="5" fillId="4" borderId="0" xfId="0" quotePrefix="1" applyFont="1" applyFill="1" applyAlignment="1">
      <alignment wrapText="1"/>
    </xf>
    <xf numFmtId="0" fontId="17" fillId="4" borderId="0" xfId="0" applyFont="1" applyFill="1" applyAlignment="1">
      <alignment horizontal="centerContinuous"/>
    </xf>
    <xf numFmtId="0" fontId="17" fillId="6" borderId="6" xfId="0" applyFont="1" applyFill="1" applyBorder="1" applyAlignment="1">
      <alignment horizontal="centerContinuous"/>
    </xf>
    <xf numFmtId="0" fontId="17" fillId="6" borderId="0" xfId="0" applyFont="1" applyFill="1" applyAlignment="1">
      <alignment horizontal="centerContinuous"/>
    </xf>
    <xf numFmtId="0" fontId="5" fillId="5" borderId="0" xfId="0" quotePrefix="1" applyFont="1" applyFill="1" applyAlignment="1">
      <alignment wrapText="1"/>
    </xf>
    <xf numFmtId="0" fontId="17" fillId="5" borderId="0" xfId="0" applyFont="1" applyFill="1" applyAlignment="1">
      <alignment horizontal="centerContinuous"/>
    </xf>
    <xf numFmtId="0" fontId="18" fillId="5" borderId="0" xfId="0" applyFont="1" applyFill="1" applyAlignment="1">
      <alignment horizontal="centerContinuous"/>
    </xf>
    <xf numFmtId="0" fontId="19" fillId="9" borderId="6" xfId="0" applyFont="1" applyFill="1" applyBorder="1" applyAlignment="1">
      <alignment horizontal="centerContinuous"/>
    </xf>
    <xf numFmtId="0" fontId="18" fillId="9" borderId="0" xfId="0" applyFont="1" applyFill="1" applyAlignment="1">
      <alignment horizontal="centerContinuous"/>
    </xf>
    <xf numFmtId="0" fontId="17" fillId="9" borderId="0" xfId="0" applyFont="1" applyFill="1" applyAlignment="1">
      <alignment horizontal="centerContinuous"/>
    </xf>
    <xf numFmtId="0" fontId="16" fillId="5" borderId="0" xfId="0" applyFont="1" applyFill="1" applyAlignment="1">
      <alignment horizontal="centerContinuous"/>
    </xf>
    <xf numFmtId="0" fontId="5" fillId="8" borderId="0" xfId="0" applyFont="1" applyFill="1" applyAlignment="1">
      <alignment wrapText="1"/>
    </xf>
    <xf numFmtId="0" fontId="17" fillId="8" borderId="0" xfId="0" applyFont="1" applyFill="1" applyAlignment="1">
      <alignment horizontal="centerContinuous"/>
    </xf>
    <xf numFmtId="0" fontId="18" fillId="8" borderId="0" xfId="0" applyFont="1" applyFill="1" applyAlignment="1">
      <alignment horizontal="centerContinuous"/>
    </xf>
    <xf numFmtId="0" fontId="5" fillId="6" borderId="0" xfId="0" applyFont="1" applyFill="1" applyAlignment="1">
      <alignment wrapText="1"/>
    </xf>
    <xf numFmtId="0" fontId="5" fillId="6" borderId="7" xfId="0" applyFont="1" applyFill="1" applyBorder="1"/>
    <xf numFmtId="0" fontId="18" fillId="6" borderId="0" xfId="0" applyFont="1" applyFill="1" applyAlignment="1">
      <alignment horizontal="centerContinuous"/>
    </xf>
    <xf numFmtId="0" fontId="20" fillId="6" borderId="7" xfId="0" applyFont="1" applyFill="1" applyBorder="1" applyAlignment="1">
      <alignment horizontal="centerContinuous"/>
    </xf>
    <xf numFmtId="167" fontId="0" fillId="6" borderId="0" xfId="0" applyNumberFormat="1" applyFill="1"/>
    <xf numFmtId="0" fontId="18" fillId="9" borderId="7" xfId="0" applyFont="1" applyFill="1" applyBorder="1" applyAlignment="1">
      <alignment horizontal="centerContinuous"/>
    </xf>
    <xf numFmtId="165" fontId="2" fillId="2" borderId="12" xfId="5" applyFont="1" applyFill="1" applyBorder="1"/>
    <xf numFmtId="165" fontId="2" fillId="2" borderId="13" xfId="5" applyFont="1" applyFill="1" applyBorder="1"/>
    <xf numFmtId="0" fontId="22" fillId="0" borderId="0" xfId="0" applyFont="1"/>
    <xf numFmtId="14" fontId="5" fillId="4" borderId="0" xfId="0" applyNumberFormat="1" applyFont="1" applyFill="1" applyAlignment="1">
      <alignment wrapText="1"/>
    </xf>
    <xf numFmtId="0" fontId="18" fillId="4" borderId="0" xfId="0" applyFont="1" applyFill="1" applyAlignment="1">
      <alignment horizontal="centerContinuous"/>
    </xf>
    <xf numFmtId="0" fontId="23" fillId="0" borderId="3" xfId="0" applyFont="1" applyBorder="1"/>
    <xf numFmtId="165" fontId="2" fillId="0" borderId="10" xfId="5" applyFont="1" applyFill="1" applyBorder="1"/>
    <xf numFmtId="0" fontId="23" fillId="0" borderId="6" xfId="0" applyFont="1" applyBorder="1"/>
    <xf numFmtId="14" fontId="24" fillId="3" borderId="12" xfId="6" applyNumberFormat="1" applyBorder="1"/>
    <xf numFmtId="0" fontId="25" fillId="0" borderId="6" xfId="0" applyFont="1" applyBorder="1"/>
    <xf numFmtId="0" fontId="18" fillId="0" borderId="0" xfId="0" applyFont="1" applyAlignment="1">
      <alignment horizontal="centerContinuous"/>
    </xf>
    <xf numFmtId="0" fontId="0" fillId="0" borderId="14" xfId="0" applyBorder="1"/>
    <xf numFmtId="0" fontId="17" fillId="0" borderId="0" xfId="0" applyFont="1" applyAlignment="1">
      <alignment horizontal="centerContinuous"/>
    </xf>
    <xf numFmtId="0" fontId="26" fillId="0" borderId="0" xfId="7"/>
    <xf numFmtId="0" fontId="5" fillId="7" borderId="15" xfId="0" applyFont="1" applyFill="1" applyBorder="1"/>
    <xf numFmtId="0" fontId="5" fillId="7" borderId="16" xfId="0" applyFont="1" applyFill="1" applyBorder="1" applyAlignment="1">
      <alignment horizontal="right"/>
    </xf>
    <xf numFmtId="165" fontId="0" fillId="0" borderId="0" xfId="5" applyFont="1"/>
    <xf numFmtId="4" fontId="0" fillId="0" borderId="0" xfId="0" applyNumberFormat="1"/>
    <xf numFmtId="14" fontId="5" fillId="7" borderId="16" xfId="0" applyNumberFormat="1" applyFont="1" applyFill="1" applyBorder="1" applyAlignment="1">
      <alignment horizontal="right"/>
    </xf>
    <xf numFmtId="14" fontId="18" fillId="0" borderId="0" xfId="0" applyNumberFormat="1" applyFont="1" applyAlignment="1">
      <alignment horizontal="centerContinuous"/>
    </xf>
    <xf numFmtId="4" fontId="5" fillId="0" borderId="16" xfId="5" applyNumberFormat="1" applyFont="1" applyBorder="1"/>
    <xf numFmtId="4" fontId="17" fillId="13" borderId="0" xfId="0" applyNumberFormat="1" applyFont="1" applyFill="1" applyAlignment="1">
      <alignment horizontal="centerContinuous"/>
    </xf>
    <xf numFmtId="4" fontId="18" fillId="13" borderId="0" xfId="0" applyNumberFormat="1" applyFont="1" applyFill="1" applyAlignment="1">
      <alignment horizontal="centerContinuous"/>
    </xf>
    <xf numFmtId="4" fontId="17" fillId="14" borderId="0" xfId="0" applyNumberFormat="1" applyFont="1" applyFill="1" applyAlignment="1">
      <alignment horizontal="centerContinuous"/>
    </xf>
    <xf numFmtId="4" fontId="18" fillId="14" borderId="0" xfId="0" applyNumberFormat="1" applyFont="1" applyFill="1" applyAlignment="1">
      <alignment horizontal="centerContinuous"/>
    </xf>
    <xf numFmtId="4" fontId="17" fillId="15" borderId="0" xfId="0" applyNumberFormat="1" applyFont="1" applyFill="1" applyAlignment="1">
      <alignment horizontal="centerContinuous"/>
    </xf>
    <xf numFmtId="4" fontId="18" fillId="15" borderId="0" xfId="0" applyNumberFormat="1" applyFont="1" applyFill="1" applyAlignment="1">
      <alignment horizontal="centerContinuous"/>
    </xf>
    <xf numFmtId="4" fontId="5" fillId="0" borderId="17" xfId="5" applyNumberFormat="1" applyFont="1" applyBorder="1"/>
    <xf numFmtId="4" fontId="0" fillId="8" borderId="14" xfId="0" applyNumberFormat="1" applyFill="1" applyBorder="1" applyAlignment="1">
      <alignment horizontal="right" wrapText="1"/>
    </xf>
    <xf numFmtId="4" fontId="0" fillId="9" borderId="14" xfId="0" applyNumberFormat="1" applyFill="1" applyBorder="1" applyAlignment="1">
      <alignment horizontal="right" wrapText="1"/>
    </xf>
    <xf numFmtId="14" fontId="0" fillId="0" borderId="14" xfId="0" applyNumberFormat="1" applyBorder="1" applyAlignment="1">
      <alignment horizontal="right" wrapText="1"/>
    </xf>
    <xf numFmtId="4" fontId="0" fillId="6" borderId="14" xfId="0" applyNumberFormat="1" applyFill="1" applyBorder="1" applyAlignment="1">
      <alignment horizontal="right" wrapText="1"/>
    </xf>
    <xf numFmtId="4" fontId="0" fillId="11" borderId="14" xfId="0" applyNumberFormat="1" applyFill="1" applyBorder="1" applyAlignment="1">
      <alignment horizontal="right" wrapText="1"/>
    </xf>
    <xf numFmtId="4" fontId="0" fillId="4" borderId="14" xfId="0" applyNumberFormat="1" applyFill="1" applyBorder="1" applyAlignment="1">
      <alignment horizontal="right" wrapText="1"/>
    </xf>
    <xf numFmtId="4" fontId="0" fillId="5" borderId="14" xfId="0" applyNumberFormat="1" applyFill="1" applyBorder="1" applyAlignment="1">
      <alignment horizontal="right" wrapText="1"/>
    </xf>
    <xf numFmtId="4" fontId="0" fillId="10" borderId="14" xfId="0" applyNumberFormat="1" applyFill="1" applyBorder="1" applyAlignment="1">
      <alignment horizontal="right" wrapText="1"/>
    </xf>
    <xf numFmtId="4" fontId="0" fillId="12" borderId="14" xfId="0" applyNumberFormat="1" applyFill="1" applyBorder="1" applyAlignment="1">
      <alignment horizontal="right" wrapText="1"/>
    </xf>
    <xf numFmtId="0" fontId="8" fillId="2" borderId="18" xfId="2" applyFont="1" applyBorder="1" applyAlignment="1">
      <alignment horizontal="right"/>
    </xf>
    <xf numFmtId="166" fontId="0" fillId="0" borderId="0" xfId="1" applyNumberFormat="1" applyFont="1"/>
    <xf numFmtId="0" fontId="8" fillId="2" borderId="19" xfId="2" applyFont="1" applyBorder="1" applyAlignment="1">
      <alignment horizontal="right"/>
    </xf>
    <xf numFmtId="10" fontId="0" fillId="0" borderId="4" xfId="1" applyNumberFormat="1" applyFont="1" applyBorder="1"/>
    <xf numFmtId="0" fontId="0" fillId="0" borderId="6" xfId="0" applyBorder="1" applyAlignment="1">
      <alignment horizontal="left"/>
    </xf>
    <xf numFmtId="169" fontId="8" fillId="2" borderId="12" xfId="2" applyNumberFormat="1" applyFont="1" applyBorder="1"/>
    <xf numFmtId="0" fontId="8" fillId="2" borderId="12" xfId="5" applyNumberFormat="1" applyFont="1" applyFill="1" applyBorder="1" applyAlignment="1">
      <alignment horizontal="right"/>
    </xf>
    <xf numFmtId="0" fontId="8" fillId="2" borderId="13" xfId="5" applyNumberFormat="1" applyFont="1" applyFill="1" applyBorder="1" applyAlignment="1">
      <alignment horizontal="right"/>
    </xf>
    <xf numFmtId="0" fontId="0" fillId="0" borderId="0" xfId="0" applyNumberFormat="1"/>
    <xf numFmtId="170" fontId="8" fillId="2" borderId="12" xfId="2" applyNumberFormat="1" applyFont="1" applyBorder="1"/>
    <xf numFmtId="0" fontId="0" fillId="0" borderId="0" xfId="1" applyNumberFormat="1" applyFont="1"/>
  </cellXfs>
  <cellStyles count="8">
    <cellStyle name="Calculation" xfId="6" builtinId="22"/>
    <cellStyle name="Comma" xfId="5" builtinId="3"/>
    <cellStyle name="Hyperlink" xfId="7" builtinId="8"/>
    <cellStyle name="Input" xfId="2" builtinId="20"/>
    <cellStyle name="Normal" xfId="0" builtinId="0"/>
    <cellStyle name="Normal 2" xfId="4"/>
    <cellStyle name="Output" xfId="3" builtinId="21"/>
    <cellStyle name="Percent" xfId="1" builtinId="5"/>
  </cellStyles>
  <dxfs count="2">
    <dxf>
      <font>
        <color rgb="FF006100"/>
      </font>
      <fill>
        <patternFill>
          <bgColor rgb="FFC6EFCE"/>
        </patternFill>
      </fill>
    </dxf>
    <dxf>
      <font>
        <color rgb="FF006100"/>
      </font>
      <fill>
        <patternFill>
          <bgColor rgb="FFC6EFCE"/>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7B0548"/>
      <rgbColor rgb="00FF00FF"/>
      <rgbColor rgb="00FFFF00"/>
      <rgbColor rgb="0066FF33"/>
      <rgbColor rgb="00FF3399"/>
      <rgbColor rgb="00800000"/>
      <rgbColor rgb="00008080"/>
      <rgbColor rgb="000000FF"/>
      <rgbColor rgb="007B0548"/>
      <rgbColor rgb="00FF00FF"/>
      <rgbColor rgb="00CC0099"/>
      <rgbColor rgb="0066FF33"/>
      <rgbColor rgb="00FF3399"/>
      <rgbColor rgb="00FF0066"/>
      <rgbColor rgb="00FF00FF"/>
      <rgbColor rgb="00FF0066"/>
      <rgbColor rgb="0066FF33"/>
      <rgbColor rgb="0066FF66"/>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3.xml"/><Relationship Id="rId5" Type="http://schemas.openxmlformats.org/officeDocument/2006/relationships/styles" Target="styles.xml"/><Relationship Id="rId10" Type="http://schemas.openxmlformats.org/officeDocument/2006/relationships/customXml" Target="../customXml/item2.xml"/><Relationship Id="rId4" Type="http://schemas.openxmlformats.org/officeDocument/2006/relationships/theme" Target="theme/theme1.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419100</xdr:colOff>
          <xdr:row>2</xdr:row>
          <xdr:rowOff>76200</xdr:rowOff>
        </xdr:from>
        <xdr:to>
          <xdr:col>8</xdr:col>
          <xdr:colOff>38100</xdr:colOff>
          <xdr:row>5</xdr:row>
          <xdr:rowOff>95250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0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Add new agreement</a:t>
              </a:r>
            </a:p>
          </xdr:txBody>
        </xdr:sp>
        <xdr:clientData fPrintsWithSheet="0"/>
      </xdr:twoCellAnchor>
    </mc:Choice>
    <mc:Fallback/>
  </mc:AlternateContent>
  <xdr:twoCellAnchor>
    <xdr:from>
      <xdr:col>13</xdr:col>
      <xdr:colOff>933279</xdr:colOff>
      <xdr:row>0</xdr:row>
      <xdr:rowOff>21789</xdr:rowOff>
    </xdr:from>
    <xdr:to>
      <xdr:col>19</xdr:col>
      <xdr:colOff>504825</xdr:colOff>
      <xdr:row>6</xdr:row>
      <xdr:rowOff>87438</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1877504" y="21789"/>
          <a:ext cx="5858046" cy="1237224"/>
        </a:xfrm>
        <a:prstGeom prst="rect">
          <a:avLst/>
        </a:prstGeom>
        <a:solidFill>
          <a:schemeClr val="tx2">
            <a:lumMod val="20000"/>
            <a:lumOff val="80000"/>
          </a:schemeClr>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sv-SE" sz="1100" b="1">
              <a:solidFill>
                <a:srgbClr val="FF0000"/>
              </a:solidFill>
            </a:rPr>
            <a:t>Need support?</a:t>
          </a:r>
        </a:p>
        <a:p>
          <a:r>
            <a:rPr lang="sv-SE" sz="1100">
              <a:solidFill>
                <a:srgbClr val="FF0000"/>
              </a:solidFill>
            </a:rPr>
            <a:t>Supporting documentation is provided at </a:t>
          </a:r>
        </a:p>
        <a:p>
          <a:r>
            <a:rPr lang="sv-SE" sz="1100" b="1">
              <a:solidFill>
                <a:srgbClr val="FF0000"/>
              </a:solidFill>
            </a:rPr>
            <a:t>https://www.lundgrensimon.com/free-ifrs-16-lease-excel-model/</a:t>
          </a:r>
        </a:p>
      </xdr:txBody>
    </xdr:sp>
    <xdr:clientData/>
  </xdr:twoCellAnchor>
  <mc:AlternateContent xmlns:mc="http://schemas.openxmlformats.org/markup-compatibility/2006">
    <mc:Choice xmlns:a14="http://schemas.microsoft.com/office/drawing/2010/main" Requires="a14">
      <xdr:twoCellAnchor>
        <xdr:from>
          <xdr:col>4</xdr:col>
          <xdr:colOff>133350</xdr:colOff>
          <xdr:row>2</xdr:row>
          <xdr:rowOff>85725</xdr:rowOff>
        </xdr:from>
        <xdr:to>
          <xdr:col>6</xdr:col>
          <xdr:colOff>142875</xdr:colOff>
          <xdr:row>5</xdr:row>
          <xdr:rowOff>104775</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000-000004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Update summary</a:t>
              </a:r>
            </a:p>
          </xdr:txBody>
        </xdr:sp>
        <xdr:clientData fPrintsWithSheet="0"/>
      </xdr:twoCellAnchor>
    </mc:Choice>
    <mc:Fallback/>
  </mc:AlternateContent>
  <xdr:twoCellAnchor>
    <xdr:from>
      <xdr:col>8</xdr:col>
      <xdr:colOff>372180</xdr:colOff>
      <xdr:row>0</xdr:row>
      <xdr:rowOff>59847</xdr:rowOff>
    </xdr:from>
    <xdr:to>
      <xdr:col>13</xdr:col>
      <xdr:colOff>511482</xdr:colOff>
      <xdr:row>6</xdr:row>
      <xdr:rowOff>76971</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6696780" y="59847"/>
          <a:ext cx="4749402" cy="1198224"/>
        </a:xfrm>
        <a:prstGeom prst="rect">
          <a:avLst/>
        </a:prstGeom>
        <a:solidFill>
          <a:schemeClr val="tx2">
            <a:lumMod val="20000"/>
            <a:lumOff val="80000"/>
          </a:schemeClr>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sv-SE" sz="1100" b="1">
              <a:solidFill>
                <a:srgbClr val="FF0000"/>
              </a:solidFill>
            </a:rPr>
            <a:t>Information:</a:t>
          </a:r>
        </a:p>
        <a:p>
          <a:pPr marL="171450" indent="-171450">
            <a:buFont typeface="Arial" panose="020B0604020202020204" pitchFamily="34" charset="0"/>
            <a:buChar char="•"/>
          </a:pPr>
          <a:r>
            <a:rPr lang="sv-SE" sz="1100" b="0">
              <a:solidFill>
                <a:srgbClr val="FF0000"/>
              </a:solidFill>
            </a:rPr>
            <a:t>This sheet summarizes key data from all</a:t>
          </a:r>
          <a:r>
            <a:rPr lang="sv-SE" sz="1100" b="0" baseline="0">
              <a:solidFill>
                <a:srgbClr val="FF0000"/>
              </a:solidFill>
            </a:rPr>
            <a:t> sheets containing lease agreements.</a:t>
          </a:r>
        </a:p>
        <a:p>
          <a:pPr marL="171450" indent="-171450">
            <a:buFont typeface="Arial" panose="020B0604020202020204" pitchFamily="34" charset="0"/>
            <a:buChar char="•"/>
          </a:pPr>
          <a:r>
            <a:rPr lang="sv-SE" sz="1100" b="0" baseline="0">
              <a:solidFill>
                <a:srgbClr val="FF0000"/>
              </a:solidFill>
            </a:rPr>
            <a:t>Click on "</a:t>
          </a:r>
          <a:r>
            <a:rPr lang="sv-SE" sz="1100" b="1" baseline="0">
              <a:solidFill>
                <a:srgbClr val="FF0000"/>
              </a:solidFill>
            </a:rPr>
            <a:t>Add new agreement</a:t>
          </a:r>
          <a:r>
            <a:rPr lang="sv-SE" sz="1100" b="0" baseline="0">
              <a:solidFill>
                <a:srgbClr val="FF0000"/>
              </a:solidFill>
            </a:rPr>
            <a:t>" to add a new empty lease template.</a:t>
          </a:r>
        </a:p>
        <a:p>
          <a:pPr marL="171450" indent="-171450">
            <a:buFont typeface="Arial" panose="020B0604020202020204" pitchFamily="34" charset="0"/>
            <a:buChar char="•"/>
          </a:pPr>
          <a:r>
            <a:rPr lang="sv-SE" sz="1100" b="0" baseline="0">
              <a:solidFill>
                <a:srgbClr val="FF0000"/>
              </a:solidFill>
            </a:rPr>
            <a:t>Select "</a:t>
          </a:r>
          <a:r>
            <a:rPr lang="sv-SE" sz="1100" b="1" baseline="0">
              <a:solidFill>
                <a:srgbClr val="FF0000"/>
              </a:solidFill>
            </a:rPr>
            <a:t>Period start</a:t>
          </a:r>
          <a:r>
            <a:rPr lang="sv-SE" sz="1100" b="0" baseline="0">
              <a:solidFill>
                <a:srgbClr val="FF0000"/>
              </a:solidFill>
            </a:rPr>
            <a:t>" and "</a:t>
          </a:r>
          <a:r>
            <a:rPr lang="sv-SE" sz="1100" b="1" baseline="0">
              <a:solidFill>
                <a:srgbClr val="FF0000"/>
              </a:solidFill>
            </a:rPr>
            <a:t>Period end</a:t>
          </a:r>
          <a:r>
            <a:rPr lang="sv-SE" sz="1100" b="0" baseline="0">
              <a:solidFill>
                <a:srgbClr val="FF0000"/>
              </a:solidFill>
            </a:rPr>
            <a:t>" dates for the current YTD period.</a:t>
          </a:r>
        </a:p>
        <a:p>
          <a:pPr marL="171450" indent="-171450">
            <a:buFont typeface="Arial" panose="020B0604020202020204" pitchFamily="34" charset="0"/>
            <a:buChar char="•"/>
          </a:pPr>
          <a:r>
            <a:rPr lang="sv-SE" sz="1100" b="0" baseline="0">
              <a:solidFill>
                <a:srgbClr val="FF0000"/>
              </a:solidFill>
            </a:rPr>
            <a:t>Click on "</a:t>
          </a:r>
          <a:r>
            <a:rPr lang="sv-SE" sz="1100" b="1" baseline="0">
              <a:solidFill>
                <a:srgbClr val="FF0000"/>
              </a:solidFill>
            </a:rPr>
            <a:t>Update summary</a:t>
          </a:r>
          <a:r>
            <a:rPr lang="sv-SE" sz="1100" b="0" baseline="0">
              <a:solidFill>
                <a:srgbClr val="FF0000"/>
              </a:solidFill>
            </a:rPr>
            <a:t>" to gather updated information from all lease sheets based on the "</a:t>
          </a:r>
          <a:r>
            <a:rPr lang="sv-SE" sz="1100" b="1" baseline="0">
              <a:solidFill>
                <a:srgbClr val="FF0000"/>
              </a:solidFill>
            </a:rPr>
            <a:t>Period start</a:t>
          </a:r>
          <a:r>
            <a:rPr lang="sv-SE" sz="1100" b="0" baseline="0">
              <a:solidFill>
                <a:srgbClr val="FF0000"/>
              </a:solidFill>
            </a:rPr>
            <a:t>" and "</a:t>
          </a:r>
          <a:r>
            <a:rPr lang="sv-SE" sz="1100" b="1" baseline="0">
              <a:solidFill>
                <a:srgbClr val="FF0000"/>
              </a:solidFill>
            </a:rPr>
            <a:t>Period end</a:t>
          </a:r>
          <a:r>
            <a:rPr lang="sv-SE" sz="1100" b="0" baseline="0">
              <a:solidFill>
                <a:srgbClr val="FF0000"/>
              </a:solidFill>
            </a:rPr>
            <a:t>" dates.</a:t>
          </a:r>
        </a:p>
        <a:p>
          <a:endParaRPr lang="sv-SE" sz="1100" b="0">
            <a:solidFill>
              <a:srgbClr val="FF0000"/>
            </a:solidFill>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2543175</xdr:colOff>
          <xdr:row>72</xdr:row>
          <xdr:rowOff>142875</xdr:rowOff>
        </xdr:from>
        <xdr:to>
          <xdr:col>2</xdr:col>
          <xdr:colOff>1019175</xdr:colOff>
          <xdr:row>75</xdr:row>
          <xdr:rowOff>66675</xdr:rowOff>
        </xdr:to>
        <xdr:sp macro="" textlink="">
          <xdr:nvSpPr>
            <xdr:cNvPr id="6152" name="Button 8" hidden="1">
              <a:extLst>
                <a:ext uri="{63B3BB69-23CF-44E3-9099-C40C66FF867C}">
                  <a14:compatExt spid="_x0000_s6152"/>
                </a:ext>
                <a:ext uri="{FF2B5EF4-FFF2-40B4-BE49-F238E27FC236}">
                  <a16:creationId xmlns:a16="http://schemas.microsoft.com/office/drawing/2014/main" id="{00000000-0008-0000-0100-000008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ea typeface="Calibri"/>
                  <a:cs typeface="Calibri"/>
                </a:rPr>
                <a:t>RUN ASSESSMENT</a:t>
              </a:r>
            </a:p>
          </xdr:txBody>
        </xdr:sp>
        <xdr:clientData fPrintsWithSheet="0"/>
      </xdr:twoCellAnchor>
    </mc:Choice>
    <mc:Fallback/>
  </mc:AlternateContent>
  <xdr:twoCellAnchor>
    <xdr:from>
      <xdr:col>1</xdr:col>
      <xdr:colOff>71437</xdr:colOff>
      <xdr:row>10</xdr:row>
      <xdr:rowOff>65049</xdr:rowOff>
    </xdr:from>
    <xdr:to>
      <xdr:col>2</xdr:col>
      <xdr:colOff>1131093</xdr:colOff>
      <xdr:row>15</xdr:row>
      <xdr:rowOff>837127</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350217" y="2258122"/>
          <a:ext cx="4405022" cy="1822151"/>
        </a:xfrm>
        <a:prstGeom prst="rect">
          <a:avLst/>
        </a:prstGeom>
        <a:solidFill>
          <a:schemeClr val="lt1"/>
        </a:solidFill>
        <a:ln w="12700" cmpd="sng">
          <a:solidFill>
            <a:schemeClr val="bg1">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sv-SE" sz="1100"/>
            <a:t>[Placeholder for any </a:t>
          </a:r>
          <a:r>
            <a:rPr lang="sv-SE" sz="1100" baseline="0"/>
            <a:t>d</a:t>
          </a:r>
          <a:r>
            <a:rPr lang="sv-SE" sz="1100"/>
            <a:t>escription/note]</a:t>
          </a:r>
        </a:p>
      </xdr:txBody>
    </xdr:sp>
    <xdr:clientData/>
  </xdr:twoCellAnchor>
  <xdr:twoCellAnchor>
    <xdr:from>
      <xdr:col>1</xdr:col>
      <xdr:colOff>46464</xdr:colOff>
      <xdr:row>72</xdr:row>
      <xdr:rowOff>92926</xdr:rowOff>
    </xdr:from>
    <xdr:to>
      <xdr:col>1</xdr:col>
      <xdr:colOff>2416098</xdr:colOff>
      <xdr:row>75</xdr:row>
      <xdr:rowOff>92926</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325244" y="13558024"/>
          <a:ext cx="2369634" cy="55756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sv-SE" sz="1100"/>
            <a:t>Click</a:t>
          </a:r>
          <a:r>
            <a:rPr lang="sv-SE" sz="1100" baseline="0"/>
            <a:t> on "RUN ASSESSMENT" w</a:t>
          </a:r>
          <a:r>
            <a:rPr lang="sv-SE" sz="1100"/>
            <a:t>hen</a:t>
          </a:r>
          <a:r>
            <a:rPr lang="sv-SE" sz="1100" baseline="0"/>
            <a:t> you're done filling section 1 out.</a:t>
          </a:r>
          <a:endParaRPr lang="sv-SE" sz="1100"/>
        </a:p>
      </xdr:txBody>
    </xdr:sp>
    <xdr:clientData/>
  </xdr:twoCellAnchor>
  <mc:AlternateContent xmlns:mc="http://schemas.openxmlformats.org/markup-compatibility/2006">
    <mc:Choice xmlns:a14="http://schemas.microsoft.com/office/drawing/2010/main" Requires="a14">
      <xdr:twoCellAnchor>
        <xdr:from>
          <xdr:col>2</xdr:col>
          <xdr:colOff>57150</xdr:colOff>
          <xdr:row>0</xdr:row>
          <xdr:rowOff>171450</xdr:rowOff>
        </xdr:from>
        <xdr:to>
          <xdr:col>3</xdr:col>
          <xdr:colOff>209550</xdr:colOff>
          <xdr:row>2</xdr:row>
          <xdr:rowOff>38100</xdr:rowOff>
        </xdr:to>
        <xdr:sp macro="" textlink="">
          <xdr:nvSpPr>
            <xdr:cNvPr id="6194" name="Button 50" hidden="1">
              <a:extLst>
                <a:ext uri="{63B3BB69-23CF-44E3-9099-C40C66FF867C}">
                  <a14:compatExt spid="_x0000_s6194"/>
                </a:ext>
                <a:ext uri="{FF2B5EF4-FFF2-40B4-BE49-F238E27FC236}">
                  <a16:creationId xmlns:a16="http://schemas.microsoft.com/office/drawing/2014/main" id="{00000000-0008-0000-0100-00003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Go 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2695575</xdr:colOff>
          <xdr:row>104</xdr:row>
          <xdr:rowOff>133350</xdr:rowOff>
        </xdr:from>
        <xdr:to>
          <xdr:col>2</xdr:col>
          <xdr:colOff>1238250</xdr:colOff>
          <xdr:row>107</xdr:row>
          <xdr:rowOff>57150</xdr:rowOff>
        </xdr:to>
        <xdr:sp macro="" textlink="">
          <xdr:nvSpPr>
            <xdr:cNvPr id="6197" name="Button 53" hidden="1">
              <a:extLst>
                <a:ext uri="{63B3BB69-23CF-44E3-9099-C40C66FF867C}">
                  <a14:compatExt spid="_x0000_s6197"/>
                </a:ext>
                <a:ext uri="{FF2B5EF4-FFF2-40B4-BE49-F238E27FC236}">
                  <a16:creationId xmlns:a16="http://schemas.microsoft.com/office/drawing/2014/main" id="{00000000-0008-0000-0100-000035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ea typeface="Calibri"/>
                  <a:cs typeface="Calibri"/>
                </a:rPr>
                <a:t>ADD VARIABLE PAYMENT SCHEME</a:t>
              </a:r>
            </a:p>
          </xdr:txBody>
        </xdr:sp>
        <xdr:clientData fPrintsWithSheet="0"/>
      </xdr:twoCellAnchor>
    </mc:Choice>
    <mc:Fallback/>
  </mc:AlternateContent>
  <xdr:twoCellAnchor>
    <xdr:from>
      <xdr:col>1</xdr:col>
      <xdr:colOff>84666</xdr:colOff>
      <xdr:row>104</xdr:row>
      <xdr:rowOff>65852</xdr:rowOff>
    </xdr:from>
    <xdr:to>
      <xdr:col>1</xdr:col>
      <xdr:colOff>2454300</xdr:colOff>
      <xdr:row>107</xdr:row>
      <xdr:rowOff>122297</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357481" y="20244741"/>
          <a:ext cx="2369634" cy="6397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sv-SE" sz="1100"/>
            <a:t>Click</a:t>
          </a:r>
          <a:r>
            <a:rPr lang="sv-SE" sz="1100" baseline="0"/>
            <a:t> on "Add variable payment scheme" w</a:t>
          </a:r>
          <a:r>
            <a:rPr lang="sv-SE" sz="1100"/>
            <a:t>hen</a:t>
          </a:r>
          <a:r>
            <a:rPr lang="sv-SE" sz="1100" baseline="0"/>
            <a:t> you're done filling section 1.1 out.</a:t>
          </a:r>
          <a:endParaRPr lang="sv-SE"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2543175</xdr:colOff>
          <xdr:row>72</xdr:row>
          <xdr:rowOff>142875</xdr:rowOff>
        </xdr:from>
        <xdr:to>
          <xdr:col>2</xdr:col>
          <xdr:colOff>1019175</xdr:colOff>
          <xdr:row>75</xdr:row>
          <xdr:rowOff>66675</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100-000008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ea typeface="Calibri"/>
                  <a:cs typeface="Calibri"/>
                </a:rPr>
                <a:t>RUN ASSESSMENT</a:t>
              </a:r>
            </a:p>
          </xdr:txBody>
        </xdr:sp>
        <xdr:clientData fPrintsWithSheet="0"/>
      </xdr:twoCellAnchor>
    </mc:Choice>
    <mc:Fallback/>
  </mc:AlternateContent>
  <xdr:twoCellAnchor>
    <xdr:from>
      <xdr:col>1</xdr:col>
      <xdr:colOff>71437</xdr:colOff>
      <xdr:row>10</xdr:row>
      <xdr:rowOff>65049</xdr:rowOff>
    </xdr:from>
    <xdr:to>
      <xdr:col>2</xdr:col>
      <xdr:colOff>1131093</xdr:colOff>
      <xdr:row>15</xdr:row>
      <xdr:rowOff>837127</xdr:rowOff>
    </xdr:to>
    <xdr:sp macro="" textlink="">
      <xdr:nvSpPr>
        <xdr:cNvPr id="3" name="TextBox 2">
          <a:extLst>
            <a:ext uri="{FF2B5EF4-FFF2-40B4-BE49-F238E27FC236}">
              <a16:creationId xmlns:a16="http://schemas.microsoft.com/office/drawing/2014/main" id="{00000000-0008-0000-0100-000002000000}"/>
            </a:ext>
          </a:extLst>
        </xdr:cNvPr>
        <xdr:cNvSpPr txBox="1"/>
      </xdr:nvSpPr>
      <xdr:spPr>
        <a:xfrm>
          <a:off x="338137" y="2312949"/>
          <a:ext cx="4383881" cy="1848403"/>
        </a:xfrm>
        <a:prstGeom prst="rect">
          <a:avLst/>
        </a:prstGeom>
        <a:solidFill>
          <a:schemeClr val="lt1"/>
        </a:solidFill>
        <a:ln w="12700" cmpd="sng">
          <a:solidFill>
            <a:schemeClr val="bg1">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sv-SE" sz="1100"/>
            <a:t>[Placeholder for any </a:t>
          </a:r>
          <a:r>
            <a:rPr lang="sv-SE" sz="1100" baseline="0"/>
            <a:t>d</a:t>
          </a:r>
          <a:r>
            <a:rPr lang="sv-SE" sz="1100"/>
            <a:t>escription/note]</a:t>
          </a:r>
        </a:p>
      </xdr:txBody>
    </xdr:sp>
    <xdr:clientData/>
  </xdr:twoCellAnchor>
  <xdr:twoCellAnchor>
    <xdr:from>
      <xdr:col>1</xdr:col>
      <xdr:colOff>46464</xdr:colOff>
      <xdr:row>72</xdr:row>
      <xdr:rowOff>92926</xdr:rowOff>
    </xdr:from>
    <xdr:to>
      <xdr:col>1</xdr:col>
      <xdr:colOff>2416098</xdr:colOff>
      <xdr:row>75</xdr:row>
      <xdr:rowOff>92926</xdr:rowOff>
    </xdr:to>
    <xdr:sp macro="" textlink="">
      <xdr:nvSpPr>
        <xdr:cNvPr id="4" name="TextBox 3">
          <a:extLst>
            <a:ext uri="{FF2B5EF4-FFF2-40B4-BE49-F238E27FC236}">
              <a16:creationId xmlns:a16="http://schemas.microsoft.com/office/drawing/2014/main" id="{00000000-0008-0000-0100-000003000000}"/>
            </a:ext>
          </a:extLst>
        </xdr:cNvPr>
        <xdr:cNvSpPr txBox="1"/>
      </xdr:nvSpPr>
      <xdr:spPr>
        <a:xfrm>
          <a:off x="313164" y="15256726"/>
          <a:ext cx="2369634" cy="55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sv-SE" sz="1100"/>
            <a:t>Click</a:t>
          </a:r>
          <a:r>
            <a:rPr lang="sv-SE" sz="1100" baseline="0"/>
            <a:t> on "RUN ASSESSMENT" w</a:t>
          </a:r>
          <a:r>
            <a:rPr lang="sv-SE" sz="1100"/>
            <a:t>hen</a:t>
          </a:r>
          <a:r>
            <a:rPr lang="sv-SE" sz="1100" baseline="0"/>
            <a:t> you're done filling section 1 out.</a:t>
          </a:r>
          <a:endParaRPr lang="sv-SE" sz="1100"/>
        </a:p>
      </xdr:txBody>
    </xdr:sp>
    <xdr:clientData/>
  </xdr:twoCellAnchor>
  <mc:AlternateContent xmlns:mc="http://schemas.openxmlformats.org/markup-compatibility/2006">
    <mc:Choice xmlns:a14="http://schemas.microsoft.com/office/drawing/2010/main" Requires="a14">
      <xdr:twoCellAnchor>
        <xdr:from>
          <xdr:col>2</xdr:col>
          <xdr:colOff>57150</xdr:colOff>
          <xdr:row>0</xdr:row>
          <xdr:rowOff>171450</xdr:rowOff>
        </xdr:from>
        <xdr:to>
          <xdr:col>3</xdr:col>
          <xdr:colOff>209550</xdr:colOff>
          <xdr:row>2</xdr:row>
          <xdr:rowOff>38100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100-00003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Go 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2695575</xdr:colOff>
          <xdr:row>104</xdr:row>
          <xdr:rowOff>133350</xdr:rowOff>
        </xdr:from>
        <xdr:to>
          <xdr:col>2</xdr:col>
          <xdr:colOff>1238250</xdr:colOff>
          <xdr:row>107</xdr:row>
          <xdr:rowOff>57150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100-000035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ea typeface="Calibri"/>
                  <a:cs typeface="Calibri"/>
                </a:rPr>
                <a:t>ADD VARIABLE PAYMENT SCHEME</a:t>
              </a:r>
            </a:p>
          </xdr:txBody>
        </xdr:sp>
        <xdr:clientData fPrintsWithSheet="0"/>
      </xdr:twoCellAnchor>
    </mc:Choice>
    <mc:Fallback/>
  </mc:AlternateContent>
  <xdr:twoCellAnchor>
    <xdr:from>
      <xdr:col>1</xdr:col>
      <xdr:colOff>84666</xdr:colOff>
      <xdr:row>104</xdr:row>
      <xdr:rowOff>65852</xdr:rowOff>
    </xdr:from>
    <xdr:to>
      <xdr:col>1</xdr:col>
      <xdr:colOff>2454300</xdr:colOff>
      <xdr:row>107</xdr:row>
      <xdr:rowOff>122297</xdr:rowOff>
    </xdr:to>
    <xdr:sp macro="" textlink="">
      <xdr:nvSpPr>
        <xdr:cNvPr id="7" name="TextBox 6">
          <a:extLst>
            <a:ext uri="{FF2B5EF4-FFF2-40B4-BE49-F238E27FC236}">
              <a16:creationId xmlns:a16="http://schemas.microsoft.com/office/drawing/2014/main" id="{00000000-0008-0000-0100-000005000000}"/>
            </a:ext>
          </a:extLst>
        </xdr:cNvPr>
        <xdr:cNvSpPr txBox="1"/>
      </xdr:nvSpPr>
      <xdr:spPr>
        <a:xfrm>
          <a:off x="351366" y="21449477"/>
          <a:ext cx="2369634" cy="6565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sv-SE" sz="1100"/>
            <a:t>Click</a:t>
          </a:r>
          <a:r>
            <a:rPr lang="sv-SE" sz="1100" baseline="0"/>
            <a:t> on "Add variable payment scheme" w</a:t>
          </a:r>
          <a:r>
            <a:rPr lang="sv-SE" sz="1100"/>
            <a:t>hen</a:t>
          </a:r>
          <a:r>
            <a:rPr lang="sv-SE" sz="1100" baseline="0"/>
            <a:t> you're done filling section 1.1 out.</a:t>
          </a:r>
          <a:endParaRPr lang="sv-SE"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3.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70C0"/>
  </sheetPr>
  <dimension ref="B1:AA16"/>
  <sheetViews>
    <sheetView workbookViewId="0">
      <selection activeCell="K11" sqref="K11"/>
    </sheetView>
  </sheetViews>
  <sheetFormatPr defaultRowHeight="15" x14ac:dyDescent="0.25"/>
  <cols>
    <col min="1" max="1" width="3" customWidth="1"/>
    <col min="2" max="2" width="12.7109375" customWidth="1"/>
    <col min="3" max="3" width="12" bestFit="1" customWidth="1"/>
    <col min="4" max="4" width="11" bestFit="1" customWidth="1"/>
    <col min="5" max="5" width="8.5703125" bestFit="1" customWidth="1"/>
    <col min="6" max="7" width="14.85546875" customWidth="1"/>
    <col min="8" max="8" width="15.140625" customWidth="1"/>
    <col min="9" max="9" width="13.42578125" bestFit="1" customWidth="1"/>
    <col min="10" max="10" width="11.28515625" bestFit="1" customWidth="1"/>
    <col min="11" max="11" width="13.42578125" bestFit="1" customWidth="1"/>
    <col min="12" max="12" width="13.7109375" bestFit="1" customWidth="1"/>
    <col min="13" max="27" width="15.28515625" bestFit="1" customWidth="1"/>
  </cols>
  <sheetData>
    <row r="1" spans="2:27" x14ac:dyDescent="0.25">
      <c r="F1" s="3"/>
      <c r="G1" s="3"/>
      <c r="H1" s="3"/>
      <c r="I1" s="94"/>
      <c r="J1" s="94"/>
      <c r="K1" s="94"/>
      <c r="L1" s="94"/>
      <c r="M1" s="94"/>
      <c r="N1" s="94"/>
      <c r="O1" s="94"/>
      <c r="P1" s="94"/>
      <c r="Q1" s="94"/>
      <c r="R1" s="94"/>
      <c r="S1" s="94"/>
      <c r="T1" s="94"/>
      <c r="U1" s="94"/>
      <c r="V1" s="94"/>
      <c r="W1" s="94"/>
      <c r="X1" s="94"/>
      <c r="Y1" s="94"/>
      <c r="Z1" s="94"/>
      <c r="AA1" s="94"/>
    </row>
    <row r="2" spans="2:27" ht="21" x14ac:dyDescent="0.35">
      <c r="B2" s="79" t="s">
        <v>100</v>
      </c>
      <c r="F2" s="3"/>
      <c r="G2" s="3"/>
      <c r="H2" s="3"/>
      <c r="I2" s="94"/>
      <c r="J2" s="94"/>
      <c r="K2" s="94"/>
      <c r="L2" s="94"/>
      <c r="M2" s="94"/>
      <c r="N2" s="94"/>
      <c r="O2" s="94"/>
      <c r="P2" s="94"/>
      <c r="Q2" s="94"/>
      <c r="R2" s="94"/>
      <c r="S2" s="94"/>
      <c r="T2" s="94"/>
      <c r="U2" s="94"/>
      <c r="V2" s="94"/>
      <c r="W2" s="94"/>
      <c r="X2" s="94"/>
      <c r="Y2" s="94"/>
      <c r="Z2" s="94"/>
      <c r="AA2" s="94"/>
    </row>
    <row r="3" spans="2:27" x14ac:dyDescent="0.25">
      <c r="F3" s="3"/>
      <c r="G3" s="3"/>
      <c r="H3" s="3"/>
      <c r="I3" s="94"/>
      <c r="J3" s="94"/>
      <c r="K3" s="94"/>
      <c r="L3" s="94"/>
      <c r="M3" s="94"/>
      <c r="N3" s="94"/>
      <c r="O3" s="94"/>
      <c r="P3" s="94"/>
      <c r="Q3" s="94"/>
      <c r="R3" s="94"/>
      <c r="S3" s="94"/>
      <c r="T3" s="94"/>
      <c r="U3" s="94"/>
      <c r="V3" s="94"/>
      <c r="W3" s="94"/>
      <c r="X3" s="94"/>
      <c r="Y3" s="94"/>
      <c r="Z3" s="94"/>
      <c r="AA3" s="94"/>
    </row>
    <row r="4" spans="2:27" x14ac:dyDescent="0.25">
      <c r="B4" t="s">
        <v>64</v>
      </c>
      <c r="C4" s="2">
        <v>45658</v>
      </c>
      <c r="F4" s="3"/>
      <c r="G4" s="3"/>
      <c r="H4" s="3"/>
      <c r="I4" s="94"/>
      <c r="J4" s="94"/>
      <c r="K4" s="94"/>
      <c r="L4" s="94"/>
      <c r="M4" s="94"/>
      <c r="N4" s="94"/>
      <c r="O4" s="94"/>
      <c r="P4" s="94"/>
      <c r="Q4" s="94"/>
      <c r="R4" s="94"/>
      <c r="S4" s="94"/>
      <c r="T4" s="94"/>
      <c r="U4" s="94"/>
      <c r="V4" s="94"/>
      <c r="W4" s="94"/>
      <c r="X4" s="94"/>
      <c r="Y4" s="94"/>
      <c r="Z4" s="94"/>
      <c r="AA4" s="94"/>
    </row>
    <row r="5" spans="2:27" x14ac:dyDescent="0.25">
      <c r="B5" t="s">
        <v>65</v>
      </c>
      <c r="C5" s="2">
        <v>46022</v>
      </c>
      <c r="F5" s="3"/>
      <c r="G5" s="3"/>
      <c r="H5" s="3"/>
      <c r="I5" s="94"/>
      <c r="J5" s="94"/>
      <c r="K5" s="94"/>
      <c r="L5" s="94"/>
      <c r="M5" s="94"/>
      <c r="N5" s="94"/>
      <c r="O5" s="94"/>
      <c r="P5" s="94"/>
      <c r="Q5" s="94"/>
      <c r="R5" s="94"/>
      <c r="S5" s="94"/>
      <c r="T5" s="94"/>
      <c r="U5" s="94"/>
      <c r="V5" s="94"/>
      <c r="W5" s="94"/>
      <c r="X5" s="94"/>
      <c r="Y5" s="94"/>
      <c r="Z5" s="94"/>
      <c r="AA5" s="94"/>
    </row>
    <row r="6" spans="2:27" x14ac:dyDescent="0.25">
      <c r="F6" s="3"/>
      <c r="G6" s="3"/>
      <c r="H6" s="3"/>
      <c r="I6" s="94"/>
      <c r="J6" s="94"/>
      <c r="K6" s="94"/>
      <c r="L6" s="94"/>
      <c r="M6" s="94"/>
      <c r="N6" s="94"/>
      <c r="O6" s="94"/>
      <c r="P6" s="94"/>
      <c r="Q6" s="94"/>
      <c r="R6" s="94"/>
      <c r="S6" s="94"/>
      <c r="T6" s="94"/>
      <c r="U6" s="94"/>
      <c r="V6" s="94"/>
      <c r="W6" s="94"/>
      <c r="X6" s="94"/>
      <c r="Y6" s="94"/>
      <c r="Z6" s="94"/>
      <c r="AA6" s="94"/>
    </row>
    <row r="7" spans="2:27" ht="15.75" thickBot="1" x14ac:dyDescent="0.3">
      <c r="F7" s="3"/>
      <c r="G7" s="3"/>
      <c r="H7" s="3"/>
      <c r="I7" s="94"/>
      <c r="J7" s="94"/>
      <c r="K7" s="94"/>
      <c r="L7" s="94"/>
      <c r="M7" s="94"/>
      <c r="N7" s="94"/>
      <c r="O7" s="94"/>
      <c r="P7" s="94"/>
      <c r="Q7" s="94"/>
      <c r="R7" s="94"/>
      <c r="S7" s="94"/>
      <c r="T7" s="94"/>
      <c r="U7" s="94"/>
      <c r="V7" s="94"/>
      <c r="W7" s="94"/>
      <c r="X7" s="94"/>
      <c r="Y7" s="94"/>
      <c r="Z7" s="94"/>
      <c r="AA7" s="94"/>
    </row>
    <row r="8" spans="2:27" ht="15.75" thickBot="1" x14ac:dyDescent="0.3">
      <c r="B8" s="91" t="s">
        <v>89</v>
      </c>
      <c r="C8" s="92"/>
      <c r="D8" s="92"/>
      <c r="E8" s="92"/>
      <c r="F8" s="95"/>
      <c r="G8" s="95"/>
      <c r="H8" s="95"/>
      <c r="I8" s="97">
        <f t="shared" ref="I8:AA8" si="0">+SUBTOTAL(9,I12:I1048576)</f>
        <v>150000</v>
      </c>
      <c r="J8" s="97">
        <f t="shared" si="0"/>
        <v>52045.942781423175</v>
      </c>
      <c r="K8" s="97">
        <f t="shared" si="0"/>
        <v>97954.057218576825</v>
      </c>
      <c r="L8" s="97">
        <f t="shared" si="0"/>
        <v>121604.06299787603</v>
      </c>
      <c r="M8" s="97" t="e">
        <f t="shared" ca="1" si="0"/>
        <v>#NAME?</v>
      </c>
      <c r="N8" s="97">
        <f t="shared" si="0"/>
        <v>5958599.086895925</v>
      </c>
      <c r="O8" s="97">
        <f t="shared" si="0"/>
        <v>0</v>
      </c>
      <c r="P8" s="97">
        <f t="shared" si="0"/>
        <v>0</v>
      </c>
      <c r="Q8" s="97" t="e">
        <f t="shared" ca="1" si="0"/>
        <v>#NAME?</v>
      </c>
      <c r="R8" s="97" t="e">
        <f t="shared" ca="1" si="0"/>
        <v>#NAME?</v>
      </c>
      <c r="S8" s="97" t="e">
        <f t="shared" ca="1" si="0"/>
        <v>#NAME?</v>
      </c>
      <c r="T8" s="97">
        <f t="shared" si="0"/>
        <v>121604.06299787603</v>
      </c>
      <c r="U8" s="97" t="e">
        <f t="shared" ca="1" si="0"/>
        <v>#NAME?</v>
      </c>
      <c r="V8" s="97" t="e">
        <f t="shared" ca="1" si="0"/>
        <v>#NAME?</v>
      </c>
      <c r="W8" s="97" t="e">
        <f t="shared" ca="1" si="0"/>
        <v>#NAME?</v>
      </c>
      <c r="X8" s="97" t="e">
        <f t="shared" ca="1" si="0"/>
        <v>#NAME?</v>
      </c>
      <c r="Y8" s="97" t="e">
        <f t="shared" ca="1" si="0"/>
        <v>#NAME?</v>
      </c>
      <c r="Z8" s="97" t="e">
        <f t="shared" ca="1" si="0"/>
        <v>#NAME?</v>
      </c>
      <c r="AA8" s="104" t="e">
        <f t="shared" ca="1" si="0"/>
        <v>#NAME?</v>
      </c>
    </row>
    <row r="9" spans="2:27" x14ac:dyDescent="0.25">
      <c r="F9" s="3"/>
      <c r="G9" s="3"/>
      <c r="H9" s="3"/>
      <c r="I9" s="94"/>
      <c r="J9" s="94"/>
      <c r="K9" s="94"/>
      <c r="L9" s="94"/>
      <c r="M9" s="94"/>
      <c r="N9" s="94"/>
      <c r="O9" s="94"/>
      <c r="P9" s="94"/>
      <c r="Q9" s="94"/>
      <c r="R9" s="94"/>
      <c r="S9" s="94"/>
      <c r="T9" s="94"/>
      <c r="U9" s="94"/>
      <c r="V9" s="94"/>
      <c r="W9" s="94"/>
      <c r="X9" s="94"/>
      <c r="Y9" s="94"/>
      <c r="Z9" s="94"/>
      <c r="AA9" s="94"/>
    </row>
    <row r="10" spans="2:27" ht="17.25" x14ac:dyDescent="0.4">
      <c r="B10" s="89" t="s">
        <v>5</v>
      </c>
      <c r="C10" s="87"/>
      <c r="D10" s="87"/>
      <c r="E10" s="87"/>
      <c r="F10" s="96"/>
      <c r="G10" s="96"/>
      <c r="H10" s="96"/>
      <c r="I10" s="98" t="s">
        <v>112</v>
      </c>
      <c r="J10" s="99"/>
      <c r="K10" s="99"/>
      <c r="L10" s="99"/>
      <c r="M10" s="100" t="s">
        <v>116</v>
      </c>
      <c r="N10" s="101"/>
      <c r="O10" s="101"/>
      <c r="P10" s="101"/>
      <c r="Q10" s="101"/>
      <c r="R10" s="101"/>
      <c r="S10" s="101"/>
      <c r="T10" s="101"/>
      <c r="U10" s="101"/>
      <c r="V10" s="101"/>
      <c r="W10" s="101"/>
      <c r="X10" s="102" t="s">
        <v>27</v>
      </c>
      <c r="Y10" s="103"/>
      <c r="Z10" s="103"/>
      <c r="AA10" s="103"/>
    </row>
    <row r="11" spans="2:27" ht="60" x14ac:dyDescent="0.25">
      <c r="B11" s="88" t="s">
        <v>99</v>
      </c>
      <c r="C11" s="88" t="s">
        <v>13</v>
      </c>
      <c r="D11" s="88" t="s">
        <v>63</v>
      </c>
      <c r="E11" s="88" t="s">
        <v>40</v>
      </c>
      <c r="F11" s="107" t="s">
        <v>66</v>
      </c>
      <c r="G11" s="107" t="s">
        <v>6</v>
      </c>
      <c r="H11" s="107" t="s">
        <v>67</v>
      </c>
      <c r="I11" s="108" t="s">
        <v>70</v>
      </c>
      <c r="J11" s="108" t="s">
        <v>110</v>
      </c>
      <c r="K11" s="108" t="s">
        <v>72</v>
      </c>
      <c r="L11" s="108" t="s">
        <v>73</v>
      </c>
      <c r="M11" s="109" t="s">
        <v>115</v>
      </c>
      <c r="N11" s="110" t="s">
        <v>125</v>
      </c>
      <c r="O11" s="110" t="s">
        <v>122</v>
      </c>
      <c r="P11" s="110" t="s">
        <v>123</v>
      </c>
      <c r="Q11" s="110" t="s">
        <v>124</v>
      </c>
      <c r="R11" s="109" t="s">
        <v>113</v>
      </c>
      <c r="S11" s="106" t="s">
        <v>121</v>
      </c>
      <c r="T11" s="111" t="s">
        <v>129</v>
      </c>
      <c r="U11" s="111" t="s">
        <v>124</v>
      </c>
      <c r="V11" s="106" t="s">
        <v>117</v>
      </c>
      <c r="W11" s="112" t="s">
        <v>114</v>
      </c>
      <c r="X11" s="113" t="s">
        <v>111</v>
      </c>
      <c r="Y11" s="105" t="s">
        <v>118</v>
      </c>
      <c r="Z11" s="105" t="s">
        <v>119</v>
      </c>
      <c r="AA11" s="105" t="s">
        <v>120</v>
      </c>
    </row>
    <row r="12" spans="2:27" x14ac:dyDescent="0.25">
      <c r="B12" s="90" t="s">
        <v>157</v>
      </c>
      <c r="C12" t="str">
        <f>'LeaseTemplate (2)'!$C$7</f>
        <v>Test agreement</v>
      </c>
      <c r="D12" t="str">
        <f>'LeaseTemplate (2)'!$C$8</f>
        <v>Car</v>
      </c>
      <c r="E12">
        <f>'LeaseTemplate (2)'!$C$9</f>
        <v>0</v>
      </c>
      <c r="F12" s="3" t="e">
        <f ca="1">'LeaseTemplate (2)'!$H$8</f>
        <v>#NAME?</v>
      </c>
      <c r="G12" s="3" t="e">
        <f ca="1">'LeaseTemplate (2)'!$I$8</f>
        <v>#NAME?</v>
      </c>
      <c r="H12" s="3" t="e">
        <f ca="1">'LeaseTemplate (2)'!$J$8</f>
        <v>#NAME?</v>
      </c>
      <c r="I12" s="94">
        <f>'LeaseTemplate (2)'!$L$8</f>
        <v>150000</v>
      </c>
      <c r="J12" s="94">
        <f>'LeaseTemplate (2)'!$M$8</f>
        <v>52045.942781423175</v>
      </c>
      <c r="K12" s="94">
        <f>'LeaseTemplate (2)'!$N$8</f>
        <v>97954.057218576825</v>
      </c>
      <c r="L12" s="94">
        <f>'LeaseTemplate (2)'!$O$8</f>
        <v>121604.06299787603</v>
      </c>
      <c r="M12" s="94" t="e">
        <f ca="1">'LeaseTemplate (2)'!$U$9</f>
        <v>#NAME?</v>
      </c>
      <c r="N12" s="94">
        <f>'LeaseTemplate (2)'!$V$9</f>
        <v>5958599.086895925</v>
      </c>
      <c r="O12" s="94">
        <f>'LeaseTemplate (2)'!$W$9</f>
        <v>0</v>
      </c>
      <c r="P12" s="94">
        <f>'LeaseTemplate (2)'!$X$9</f>
        <v>0</v>
      </c>
      <c r="Q12" s="94" t="e">
        <f ca="1">'LeaseTemplate (2)'!$Y$9</f>
        <v>#NAME?</v>
      </c>
      <c r="R12" s="94" t="e">
        <f ca="1">'LeaseTemplate (2)'!$Z$9</f>
        <v>#NAME?</v>
      </c>
      <c r="S12" s="94" t="e">
        <f ca="1">'LeaseTemplate (2)'!$AD$9</f>
        <v>#NAME?</v>
      </c>
      <c r="T12" s="94">
        <f>'LeaseTemplate (2)'!$AE$9</f>
        <v>121604.06299787603</v>
      </c>
      <c r="U12" s="94" t="e">
        <f ca="1">'LeaseTemplate (2)'!$AF$9</f>
        <v>#NAME?</v>
      </c>
      <c r="V12" s="94" t="e">
        <f ca="1">'LeaseTemplate (2)'!$AG$9</f>
        <v>#NAME?</v>
      </c>
      <c r="W12" s="94" t="e">
        <f ca="1">'LeaseTemplate (2)'!$AI$8</f>
        <v>#NAME?</v>
      </c>
      <c r="X12" s="94" t="e">
        <f ca="1">'LeaseTemplate (2)'!$AM$8</f>
        <v>#NAME?</v>
      </c>
      <c r="Y12" s="94" t="e">
        <f ca="1">'LeaseTemplate (2)'!$AN$8</f>
        <v>#NAME?</v>
      </c>
      <c r="Z12" s="94" t="e">
        <f ca="1">'LeaseTemplate (2)'!$AO$8</f>
        <v>#NAME?</v>
      </c>
      <c r="AA12" s="94" t="e">
        <f ca="1">'LeaseTemplate (2)'!$AP$8</f>
        <v>#NAME?</v>
      </c>
    </row>
    <row r="13" spans="2:27" x14ac:dyDescent="0.25">
      <c r="B13" s="90"/>
    </row>
    <row r="14" spans="2:27" x14ac:dyDescent="0.25">
      <c r="B14" s="90"/>
    </row>
    <row r="15" spans="2:27" x14ac:dyDescent="0.25">
      <c r="B15" s="90"/>
    </row>
    <row r="16" spans="2:27" x14ac:dyDescent="0.25">
      <c r="B16" s="90"/>
    </row>
  </sheetData>
  <hyperlinks>
    <hyperlink ref="B12" location="'LeaseTemplate (2)'!A1" display="LeaseTemplate (2)"/>
  </hyperlink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70" r:id="rId4" name="Button 2">
              <controlPr defaultSize="0" print="0" autoFill="0" autoPict="0" macro="[0]!AddLeaseTemplateCopy">
                <anchor moveWithCells="1" sizeWithCells="1">
                  <from>
                    <xdr:col>6</xdr:col>
                    <xdr:colOff>419100</xdr:colOff>
                    <xdr:row>2</xdr:row>
                    <xdr:rowOff>76200</xdr:rowOff>
                  </from>
                  <to>
                    <xdr:col>8</xdr:col>
                    <xdr:colOff>38100</xdr:colOff>
                    <xdr:row>5</xdr:row>
                    <xdr:rowOff>95250</xdr:rowOff>
                  </to>
                </anchor>
              </controlPr>
            </control>
          </mc:Choice>
        </mc:AlternateContent>
        <mc:AlternateContent xmlns:mc="http://schemas.openxmlformats.org/markup-compatibility/2006">
          <mc:Choice Requires="x14">
            <control shapeId="7172" r:id="rId5" name="Button 4">
              <controlPr defaultSize="0" print="0" autoFill="0" autoPict="0" macro="[0]!Summary">
                <anchor moveWithCells="1" sizeWithCells="1">
                  <from>
                    <xdr:col>4</xdr:col>
                    <xdr:colOff>133350</xdr:colOff>
                    <xdr:row>2</xdr:row>
                    <xdr:rowOff>85725</xdr:rowOff>
                  </from>
                  <to>
                    <xdr:col>6</xdr:col>
                    <xdr:colOff>142875</xdr:colOff>
                    <xdr:row>5</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2:BJ109"/>
  <sheetViews>
    <sheetView topLeftCell="A29" zoomScale="81" zoomScaleNormal="100" workbookViewId="0">
      <selection activeCell="E59" sqref="E59"/>
    </sheetView>
  </sheetViews>
  <sheetFormatPr defaultRowHeight="15" x14ac:dyDescent="0.25"/>
  <cols>
    <col min="1" max="1" width="4" customWidth="1"/>
    <col min="2" max="2" width="49.85546875" customWidth="1"/>
    <col min="3" max="3" width="22.28515625" customWidth="1"/>
    <col min="4" max="4" width="5.5703125" customWidth="1"/>
    <col min="5" max="5" width="13.85546875" customWidth="1"/>
    <col min="6" max="6" width="15" customWidth="1"/>
    <col min="7" max="7" width="11" customWidth="1"/>
    <col min="8" max="8" width="13.42578125" customWidth="1"/>
    <col min="9" max="9" width="11" customWidth="1"/>
    <col min="10" max="10" width="11.42578125" customWidth="1"/>
    <col min="11" max="12" width="11" customWidth="1"/>
    <col min="13" max="13" width="12" customWidth="1"/>
    <col min="14" max="14" width="10.28515625" bestFit="1" customWidth="1"/>
    <col min="15" max="15" width="12.28515625" customWidth="1"/>
    <col min="16" max="16" width="12.7109375" customWidth="1"/>
    <col min="17" max="17" width="12.85546875" customWidth="1"/>
    <col min="18" max="18" width="14.28515625" customWidth="1"/>
    <col min="19" max="24" width="11" customWidth="1"/>
    <col min="25" max="25" width="12.7109375" customWidth="1"/>
    <col min="26" max="26" width="11" customWidth="1"/>
    <col min="27" max="27" width="12.42578125" customWidth="1"/>
    <col min="28" max="28" width="13.140625" customWidth="1"/>
    <col min="29" max="29" width="11.5703125" customWidth="1"/>
    <col min="30" max="30" width="12.140625" customWidth="1"/>
    <col min="31" max="31" width="12.85546875" customWidth="1"/>
    <col min="32" max="32" width="11.7109375" customWidth="1"/>
    <col min="33" max="33" width="18.5703125" customWidth="1"/>
    <col min="34" max="34" width="12.7109375" customWidth="1"/>
    <col min="35" max="37" width="11" customWidth="1"/>
    <col min="38" max="38" width="13.28515625" customWidth="1"/>
    <col min="39" max="40" width="11" customWidth="1"/>
    <col min="41" max="41" width="15.85546875" customWidth="1"/>
    <col min="42" max="42" width="15.5703125" customWidth="1"/>
    <col min="43" max="45" width="15.85546875" customWidth="1"/>
    <col min="46" max="47" width="11.7109375" customWidth="1"/>
    <col min="48" max="48" width="12" customWidth="1"/>
    <col min="49" max="50" width="12.140625" customWidth="1"/>
    <col min="51" max="51" width="13.28515625" customWidth="1"/>
    <col min="52" max="52" width="14.42578125" customWidth="1"/>
    <col min="53" max="53" width="12.7109375" customWidth="1"/>
    <col min="54" max="54" width="18.7109375" customWidth="1"/>
    <col min="55" max="55" width="14.42578125" bestFit="1" customWidth="1"/>
    <col min="56" max="56" width="23.7109375" bestFit="1" customWidth="1"/>
    <col min="57" max="57" width="15.42578125" customWidth="1"/>
    <col min="58" max="58" width="11.7109375" customWidth="1"/>
    <col min="59" max="59" width="11.85546875" bestFit="1" customWidth="1"/>
    <col min="60" max="60" width="14.5703125" bestFit="1" customWidth="1"/>
    <col min="61" max="61" width="11.28515625" bestFit="1" customWidth="1"/>
    <col min="62" max="62" width="12.85546875" bestFit="1" customWidth="1"/>
  </cols>
  <sheetData>
    <row r="2" spans="1:57" ht="28.5" x14ac:dyDescent="0.45">
      <c r="B2" s="7" t="str">
        <f>C7&amp;" -  "&amp;C8</f>
        <v>Test agreement -  Car</v>
      </c>
      <c r="AG2">
        <v>352303.4149154172</v>
      </c>
      <c r="AH2">
        <v>1603.3351752457813</v>
      </c>
      <c r="AI2">
        <v>353906.75009066297</v>
      </c>
      <c r="AJ2">
        <v>353937.57018965372</v>
      </c>
      <c r="AK2">
        <v>30.820098990749099</v>
      </c>
    </row>
    <row r="3" spans="1:57" ht="15.75" thickBot="1" x14ac:dyDescent="0.3">
      <c r="F3" s="6"/>
      <c r="Q3" s="6"/>
    </row>
    <row r="4" spans="1:57" ht="21.75" thickTop="1" x14ac:dyDescent="0.35">
      <c r="B4" s="12" t="s">
        <v>91</v>
      </c>
      <c r="C4" s="14"/>
      <c r="E4" s="12" t="s">
        <v>102</v>
      </c>
      <c r="F4" s="13"/>
      <c r="G4" s="13"/>
      <c r="H4" s="13"/>
      <c r="I4" s="13"/>
      <c r="J4" s="13"/>
      <c r="K4" s="13"/>
      <c r="L4" s="13"/>
      <c r="M4" s="13"/>
      <c r="N4" s="13"/>
      <c r="O4" s="13"/>
      <c r="P4" s="13"/>
      <c r="Q4" s="13"/>
      <c r="R4" s="13"/>
      <c r="S4" s="13"/>
      <c r="T4" s="13"/>
      <c r="U4" s="13"/>
      <c r="V4" s="13"/>
      <c r="W4" s="13"/>
      <c r="X4" s="13"/>
      <c r="Y4" s="13"/>
      <c r="Z4" s="13"/>
      <c r="AA4" s="13"/>
      <c r="AB4" s="13"/>
      <c r="AC4" s="13"/>
      <c r="AD4" s="13"/>
      <c r="AE4" s="13"/>
      <c r="AF4" s="13"/>
      <c r="AG4" s="13"/>
      <c r="AH4" s="13"/>
      <c r="AI4" s="13"/>
      <c r="AJ4" s="13"/>
      <c r="AK4" s="13"/>
      <c r="AL4" s="13"/>
      <c r="AM4" s="13"/>
      <c r="AN4" s="13"/>
      <c r="AO4" s="13"/>
      <c r="AP4" s="14"/>
    </row>
    <row r="5" spans="1:57" x14ac:dyDescent="0.25">
      <c r="B5" s="22"/>
      <c r="C5" s="23"/>
      <c r="E5" s="22"/>
      <c r="AO5" s="3">
        <f>+EDATE(F8,12)</f>
        <v>46387</v>
      </c>
      <c r="AP5" s="17">
        <f>+EDATE(F8,12*5)</f>
        <v>47848</v>
      </c>
    </row>
    <row r="6" spans="1:57" ht="17.25" x14ac:dyDescent="0.4">
      <c r="A6" s="10"/>
      <c r="B6" s="27" t="s">
        <v>5</v>
      </c>
      <c r="C6" s="28"/>
      <c r="E6" s="64" t="s">
        <v>94</v>
      </c>
      <c r="F6" s="65"/>
      <c r="H6" s="66" t="s">
        <v>128</v>
      </c>
      <c r="I6" s="66"/>
      <c r="J6" s="66"/>
      <c r="L6" s="66" t="s">
        <v>74</v>
      </c>
      <c r="M6" s="65"/>
      <c r="N6" s="65"/>
      <c r="O6" s="65"/>
      <c r="Q6" s="66" t="s">
        <v>86</v>
      </c>
      <c r="R6" s="65"/>
      <c r="S6" s="65"/>
      <c r="T6" s="65"/>
      <c r="U6" s="66"/>
      <c r="V6" s="65"/>
      <c r="W6" s="65"/>
      <c r="X6" s="65"/>
      <c r="Y6" s="65"/>
      <c r="Z6" s="65"/>
      <c r="AB6" s="66" t="s">
        <v>90</v>
      </c>
      <c r="AC6" s="65"/>
      <c r="AD6" s="66"/>
      <c r="AE6" s="65"/>
      <c r="AF6" s="65"/>
      <c r="AG6" s="65"/>
      <c r="AI6" s="66" t="s">
        <v>87</v>
      </c>
      <c r="AJ6" s="65"/>
      <c r="AK6" s="65"/>
      <c r="AM6" s="66" t="s">
        <v>75</v>
      </c>
      <c r="AN6" s="65"/>
      <c r="AO6" s="65"/>
      <c r="AP6" s="76"/>
    </row>
    <row r="7" spans="1:57" ht="17.25" x14ac:dyDescent="0.4">
      <c r="A7" s="11"/>
      <c r="B7" s="22" t="s">
        <v>13</v>
      </c>
      <c r="C7" s="25" t="s">
        <v>130</v>
      </c>
      <c r="E7" s="27" t="s">
        <v>64</v>
      </c>
      <c r="F7" s="15" t="s">
        <v>65</v>
      </c>
      <c r="H7" s="15" t="s">
        <v>66</v>
      </c>
      <c r="I7" s="15" t="s">
        <v>6</v>
      </c>
      <c r="J7" s="15" t="s">
        <v>67</v>
      </c>
      <c r="L7" s="47" t="s">
        <v>70</v>
      </c>
      <c r="M7" s="47" t="s">
        <v>71</v>
      </c>
      <c r="N7" s="47" t="s">
        <v>72</v>
      </c>
      <c r="O7" s="15" t="s">
        <v>73</v>
      </c>
      <c r="Q7" s="67" t="s">
        <v>84</v>
      </c>
      <c r="R7" s="67"/>
      <c r="S7" s="67"/>
      <c r="T7" s="67"/>
      <c r="U7" s="67" t="s">
        <v>85</v>
      </c>
      <c r="V7" s="67"/>
      <c r="W7" s="67"/>
      <c r="X7" s="67"/>
      <c r="Y7" s="67"/>
      <c r="Z7" s="67"/>
      <c r="AB7" s="67" t="s">
        <v>84</v>
      </c>
      <c r="AC7" s="67"/>
      <c r="AD7" s="67" t="s">
        <v>85</v>
      </c>
      <c r="AE7" s="67"/>
      <c r="AF7" s="67"/>
      <c r="AG7" s="67"/>
      <c r="AI7" s="15" t="s">
        <v>95</v>
      </c>
      <c r="AJ7" s="15" t="s">
        <v>96</v>
      </c>
      <c r="AK7" s="49" t="s">
        <v>88</v>
      </c>
      <c r="AM7" s="15" t="s">
        <v>82</v>
      </c>
      <c r="AN7" s="50" t="s">
        <v>68</v>
      </c>
      <c r="AO7" s="50" t="s">
        <v>76</v>
      </c>
      <c r="AP7" s="51" t="s">
        <v>69</v>
      </c>
    </row>
    <row r="8" spans="1:57" x14ac:dyDescent="0.25">
      <c r="A8" s="11"/>
      <c r="B8" s="22" t="s">
        <v>14</v>
      </c>
      <c r="C8" s="25" t="s">
        <v>39</v>
      </c>
      <c r="E8" s="43">
        <f>+Summary!C4</f>
        <v>45658</v>
      </c>
      <c r="F8" s="44">
        <f>+Summary!C5</f>
        <v>46022</v>
      </c>
      <c r="H8" s="3" t="e">
        <f ca="1">+_xlfn.XLOOKUP(F8,$F$17:$F$1048576,$G$17:$G$1048576,"Not found")</f>
        <v>#NAME?</v>
      </c>
      <c r="I8" s="3" t="e">
        <f ca="1">+_xlfn.XLOOKUP(F8,$F$17:$F$1048576,$M$17:$M$1048576,"Not found")</f>
        <v>#NAME?</v>
      </c>
      <c r="J8" s="3" t="e">
        <f ca="1">+_xlfn.XLOOKUP(F8,$F$17:$F$1048576,$R$17:$R$1048576,"Not found")</f>
        <v>#NAME?</v>
      </c>
      <c r="L8" s="45">
        <f>+SUMIFS($AC$17:$AC$1048576,$F$17:$F$1048576,"&gt;"&amp;E8,$F$17:$F$1048576,"&lt;="&amp;F8)</f>
        <v>0</v>
      </c>
      <c r="M8" s="45">
        <f>+SUMIFS($AM$17:$AM$1048576,$F$17:$F$1048576,"&gt;"&amp;E8,$F$17:$F$1048576,"&lt;="&amp;F8)</f>
        <v>0</v>
      </c>
      <c r="N8" s="45">
        <f>-(SUMIFS($AN$17:$AN$1048576,$F$17:$F$1048576,"&gt;"&amp;E8,$F$17:$F$1048576,"&lt;="&amp;F8)+M8)</f>
        <v>0</v>
      </c>
      <c r="O8" s="45">
        <f>+SUMIFS($AZ$17:$AZ$1048576,$F$17:$F$1048576,"&gt;"&amp;E8,$F$17:$F$1048576,"&lt;="&amp;F8)</f>
        <v>0</v>
      </c>
      <c r="P8" s="18"/>
      <c r="Q8" s="49" t="s">
        <v>83</v>
      </c>
      <c r="R8" s="1" t="s">
        <v>78</v>
      </c>
      <c r="S8" s="1" t="s">
        <v>79</v>
      </c>
      <c r="T8" s="1" t="s">
        <v>81</v>
      </c>
      <c r="U8" s="48" t="s">
        <v>80</v>
      </c>
      <c r="V8" s="1" t="s">
        <v>109</v>
      </c>
      <c r="W8" s="1" t="s">
        <v>78</v>
      </c>
      <c r="X8" s="1" t="s">
        <v>79</v>
      </c>
      <c r="Y8" s="1" t="s">
        <v>81</v>
      </c>
      <c r="Z8" s="48" t="s">
        <v>82</v>
      </c>
      <c r="AB8" s="1" t="s">
        <v>73</v>
      </c>
      <c r="AC8" s="1" t="s">
        <v>81</v>
      </c>
      <c r="AD8" s="48" t="s">
        <v>80</v>
      </c>
      <c r="AE8" s="1" t="s">
        <v>73</v>
      </c>
      <c r="AF8" s="1" t="s">
        <v>81</v>
      </c>
      <c r="AG8" s="48" t="s">
        <v>82</v>
      </c>
      <c r="AI8" s="54" t="e">
        <f ca="1">+Z9-AG9</f>
        <v>#NAME?</v>
      </c>
      <c r="AJ8" t="e">
        <f ca="1">+_xlfn.XLOOKUP($F$8,$F$17:$F$1048576,BA17:BA1048576,0)</f>
        <v>#NAME?</v>
      </c>
      <c r="AK8" s="75" t="e">
        <f ca="1">+AI8-AJ8</f>
        <v>#NAME?</v>
      </c>
      <c r="AM8" s="18" t="e">
        <f ca="1">+_xlfn.XLOOKUP($F$8,$F$17:$F$1048576,AP17:AP1048576,0)</f>
        <v>#NAME?</v>
      </c>
      <c r="AN8" s="18" t="e">
        <f ca="1">+AM8-SUM(AO8:AP8)</f>
        <v>#NAME?</v>
      </c>
      <c r="AO8" s="18" t="e">
        <f ca="1">+_xlfn.XLOOKUP($AO$5,$F$17:$F$1048576,AP17:AP1048576,0)-AP8</f>
        <v>#NAME?</v>
      </c>
      <c r="AP8" s="52" t="e">
        <f ca="1">+_xlfn.XLOOKUP($AP$5,$F$17:$F$1048576,AP17:AP1048576,0)</f>
        <v>#NAME?</v>
      </c>
      <c r="AX8" s="6"/>
      <c r="AY8" s="6"/>
    </row>
    <row r="9" spans="1:57" ht="15.75" thickBot="1" x14ac:dyDescent="0.3">
      <c r="A9" s="11"/>
      <c r="B9" s="22" t="s">
        <v>40</v>
      </c>
      <c r="C9" s="25"/>
      <c r="E9" s="19"/>
      <c r="F9" s="20"/>
      <c r="G9" s="20"/>
      <c r="H9" s="20"/>
      <c r="I9" s="20"/>
      <c r="J9" s="20"/>
      <c r="K9" s="20"/>
      <c r="L9" s="20"/>
      <c r="M9" s="20"/>
      <c r="N9" s="20"/>
      <c r="O9" s="20"/>
      <c r="P9" s="20"/>
      <c r="Q9" s="21">
        <f>+IF(G17&lt;=E8,AT17,0)</f>
        <v>367600.3006075205</v>
      </c>
      <c r="R9" s="46">
        <f>-SUMIFS($AV$17:$AV$1048576,$F$17:$F$1048576,"&lt;"&amp;E8)</f>
        <v>0</v>
      </c>
      <c r="S9" s="46">
        <f>+SUMIFS($AW$17:$AW$1048576,$F$17:$F$1048576,"&lt;"&amp;E8)+SUMIFS($AX$17:$AX$1048576,$F$17:$F$1048576,"&lt;"&amp;E8)</f>
        <v>0</v>
      </c>
      <c r="T9" s="46" t="e">
        <f ca="1">IF(_xlfn.MINIFS($BA$17:$BA$1048576,$F$17:$F$1048576,"&lt;"&amp;E8)=0,-SUM(Q9:S9),0)</f>
        <v>#NAME?</v>
      </c>
      <c r="U9" s="21" t="e">
        <f ca="1">+Q9+R9+S9+T9</f>
        <v>#NAME?</v>
      </c>
      <c r="V9" s="46">
        <f>+IF(Q9=0,AT17,0)</f>
        <v>0</v>
      </c>
      <c r="W9" s="46">
        <f>-SUMIFS($AV$17:$AV$1048576,$F$17:$F$1048576,"&gt;"&amp;E8,$F$17:$F$1048576,"&lt;="&amp;F8)</f>
        <v>0</v>
      </c>
      <c r="X9" s="46">
        <f>-SUMIFS($AW$17:$AW$1048576,$F$17:$F$1048576,"&gt;"&amp;E8,$F$17:$F$1048576,"&lt;="&amp;F8)-SUMIFS($AX$17:$AX$1048576,$F$17:$F$1048576,"&gt;"&amp;E8,$F$17:$F$1048576,"&lt;="&amp;F8)</f>
        <v>0</v>
      </c>
      <c r="Y9" s="46" t="e">
        <f ca="1">IF(_xlfn.MINIFS($BA$17:$BA$1048576,$F$17:$F$1048576,"&gt;="&amp;E8,$F$17:$F$1048576,"&lt;="&amp;F8)=0,-SUM(U9:X9),0)</f>
        <v>#NAME?</v>
      </c>
      <c r="Z9" s="21" t="e">
        <f ca="1">+U9+V9+W9+X9+Y9</f>
        <v>#NAME?</v>
      </c>
      <c r="AA9" s="20"/>
      <c r="AB9" s="46">
        <f>SUMIFS($AZ$17:$AZ$1048576,$F$17:$F$1048576,"&lt;"&amp;E8)</f>
        <v>347600.30060752045</v>
      </c>
      <c r="AC9" s="46" t="e">
        <f ca="1">IF(_xlfn.MINIFS($BA$17:$BA$1048576,$F$17:$F$1048576,"&lt;"&amp;E8)=0,-AB9,0)</f>
        <v>#NAME?</v>
      </c>
      <c r="AD9" s="21" t="e">
        <f ca="1">AB9+AC9</f>
        <v>#NAME?</v>
      </c>
      <c r="AE9" s="46">
        <f>SUMIFS($AZ$17:$AZ$1048576,$F$17:$F$1048576,"&gt;"&amp;E8,$F$17:$F$1048576,"&lt;="&amp;F8)</f>
        <v>0</v>
      </c>
      <c r="AF9" s="46" t="e">
        <f ca="1">IF(_xlfn.MINIFS($BA$17:$BA$1048576,$F$17:$F$1048576,"&gt;="&amp;E8,$F$17:$F$1048576,"&lt;="&amp;F8)=0,-SUM(AD9:AE9),0)</f>
        <v>#NAME?</v>
      </c>
      <c r="AG9" s="21" t="e">
        <f ca="1">+AD9+AE9+AF9</f>
        <v>#NAME?</v>
      </c>
      <c r="AH9" s="20"/>
      <c r="AI9" s="20"/>
      <c r="AJ9" s="20"/>
      <c r="AK9" s="20"/>
      <c r="AL9" s="20"/>
      <c r="AM9" s="20"/>
      <c r="AN9" s="20"/>
      <c r="AO9" s="20"/>
      <c r="AP9" s="53"/>
    </row>
    <row r="10" spans="1:57" ht="15.75" thickTop="1" x14ac:dyDescent="0.25">
      <c r="B10" s="22" t="s">
        <v>126</v>
      </c>
      <c r="C10" s="25" t="s">
        <v>127</v>
      </c>
      <c r="AV10" s="6"/>
    </row>
    <row r="11" spans="1:57" ht="15.75" thickBot="1" x14ac:dyDescent="0.3">
      <c r="B11" s="22"/>
      <c r="C11" s="23"/>
    </row>
    <row r="12" spans="1:57" ht="21.75" thickTop="1" x14ac:dyDescent="0.35">
      <c r="B12" s="22"/>
      <c r="C12" s="23"/>
      <c r="E12" s="12" t="s">
        <v>92</v>
      </c>
      <c r="F12" s="13"/>
      <c r="G12" s="13"/>
      <c r="H12" s="13"/>
      <c r="I12" s="13"/>
      <c r="J12" s="13"/>
      <c r="K12" s="13"/>
      <c r="L12" s="13"/>
      <c r="M12" s="13"/>
      <c r="N12" s="13"/>
      <c r="O12" s="13"/>
      <c r="P12" s="13"/>
      <c r="Q12" s="13"/>
      <c r="R12" s="13"/>
      <c r="S12" s="13"/>
      <c r="T12" s="13"/>
      <c r="U12" s="13"/>
      <c r="V12" s="13"/>
      <c r="W12" s="13"/>
      <c r="X12" s="13"/>
      <c r="Y12" s="13"/>
      <c r="Z12" s="13"/>
      <c r="AA12" s="13"/>
      <c r="AB12" s="13"/>
      <c r="AC12" s="13"/>
      <c r="AD12" s="13"/>
      <c r="AE12" s="13"/>
      <c r="AF12" s="13"/>
      <c r="AG12" s="38"/>
      <c r="AH12" s="117"/>
      <c r="AI12" s="39"/>
      <c r="AJ12" s="40"/>
      <c r="AK12" s="13"/>
      <c r="AL12" s="39"/>
      <c r="AM12" s="13"/>
      <c r="AN12" s="13"/>
      <c r="AO12" s="13"/>
      <c r="AP12" s="13"/>
      <c r="AQ12" s="13"/>
      <c r="AR12" s="13"/>
      <c r="AS12" s="13"/>
      <c r="AT12" s="39"/>
      <c r="AU12" s="39"/>
      <c r="AV12" s="13"/>
      <c r="AW12" s="13"/>
      <c r="AX12" s="39"/>
      <c r="AY12" s="13"/>
      <c r="AZ12" s="39"/>
      <c r="BA12" s="13"/>
      <c r="BB12" s="13"/>
      <c r="BC12" s="13"/>
      <c r="BD12" s="42"/>
    </row>
    <row r="13" spans="1:57" x14ac:dyDescent="0.25">
      <c r="B13" s="22"/>
      <c r="C13" s="23"/>
      <c r="E13" s="22"/>
      <c r="AG13" s="93"/>
      <c r="AM13" s="6" t="s">
        <v>138</v>
      </c>
      <c r="AZ13" s="6"/>
      <c r="BD13" s="23"/>
    </row>
    <row r="14" spans="1:57" x14ac:dyDescent="0.25">
      <c r="B14" s="22"/>
      <c r="C14" s="23"/>
      <c r="E14" s="22">
        <v>1</v>
      </c>
      <c r="F14">
        <f>+E14+1</f>
        <v>2</v>
      </c>
      <c r="G14">
        <f t="shared" ref="G14:AT14" si="0">+F14+1</f>
        <v>3</v>
      </c>
      <c r="H14">
        <f t="shared" si="0"/>
        <v>4</v>
      </c>
      <c r="I14">
        <f t="shared" si="0"/>
        <v>5</v>
      </c>
      <c r="J14">
        <f t="shared" si="0"/>
        <v>6</v>
      </c>
      <c r="K14">
        <f t="shared" si="0"/>
        <v>7</v>
      </c>
      <c r="L14">
        <f t="shared" si="0"/>
        <v>8</v>
      </c>
      <c r="M14">
        <f t="shared" si="0"/>
        <v>9</v>
      </c>
      <c r="N14">
        <f t="shared" si="0"/>
        <v>10</v>
      </c>
      <c r="O14">
        <f t="shared" si="0"/>
        <v>11</v>
      </c>
      <c r="P14">
        <f t="shared" si="0"/>
        <v>12</v>
      </c>
      <c r="Q14">
        <f t="shared" si="0"/>
        <v>13</v>
      </c>
      <c r="R14">
        <f t="shared" si="0"/>
        <v>14</v>
      </c>
      <c r="S14">
        <f t="shared" si="0"/>
        <v>15</v>
      </c>
      <c r="T14">
        <f t="shared" si="0"/>
        <v>16</v>
      </c>
      <c r="U14">
        <f t="shared" si="0"/>
        <v>17</v>
      </c>
      <c r="V14">
        <f t="shared" si="0"/>
        <v>18</v>
      </c>
      <c r="W14">
        <f t="shared" si="0"/>
        <v>19</v>
      </c>
      <c r="X14">
        <f t="shared" si="0"/>
        <v>20</v>
      </c>
      <c r="Y14">
        <f t="shared" si="0"/>
        <v>21</v>
      </c>
      <c r="Z14">
        <f t="shared" si="0"/>
        <v>22</v>
      </c>
      <c r="AA14">
        <f t="shared" si="0"/>
        <v>23</v>
      </c>
      <c r="AB14">
        <f t="shared" si="0"/>
        <v>24</v>
      </c>
      <c r="AC14">
        <f t="shared" si="0"/>
        <v>25</v>
      </c>
      <c r="AD14">
        <f t="shared" si="0"/>
        <v>26</v>
      </c>
      <c r="AE14">
        <f t="shared" si="0"/>
        <v>27</v>
      </c>
      <c r="AF14">
        <f t="shared" si="0"/>
        <v>28</v>
      </c>
      <c r="AG14">
        <f t="shared" si="0"/>
        <v>29</v>
      </c>
      <c r="AH14">
        <f t="shared" si="0"/>
        <v>30</v>
      </c>
      <c r="AI14">
        <f t="shared" si="0"/>
        <v>31</v>
      </c>
      <c r="AJ14">
        <f t="shared" si="0"/>
        <v>32</v>
      </c>
      <c r="AK14">
        <f t="shared" si="0"/>
        <v>33</v>
      </c>
      <c r="AL14">
        <f t="shared" si="0"/>
        <v>34</v>
      </c>
      <c r="AM14">
        <f t="shared" si="0"/>
        <v>35</v>
      </c>
      <c r="AN14">
        <f t="shared" si="0"/>
        <v>36</v>
      </c>
      <c r="AO14">
        <f t="shared" si="0"/>
        <v>37</v>
      </c>
      <c r="AP14">
        <f t="shared" si="0"/>
        <v>38</v>
      </c>
      <c r="AQ14">
        <f t="shared" si="0"/>
        <v>39</v>
      </c>
      <c r="AR14">
        <f t="shared" si="0"/>
        <v>40</v>
      </c>
      <c r="AS14">
        <f t="shared" si="0"/>
        <v>41</v>
      </c>
      <c r="AT14">
        <f t="shared" si="0"/>
        <v>42</v>
      </c>
      <c r="AU14">
        <f t="shared" ref="AU14" si="1">+AT14+1</f>
        <v>43</v>
      </c>
      <c r="AV14">
        <f t="shared" ref="AV14" si="2">+AU14+1</f>
        <v>44</v>
      </c>
      <c r="AW14">
        <f t="shared" ref="AW14" si="3">+AV14+1</f>
        <v>45</v>
      </c>
      <c r="AX14">
        <f t="shared" ref="AX14" si="4">+AW14+1</f>
        <v>46</v>
      </c>
      <c r="AY14">
        <f t="shared" ref="AY14" si="5">+AX14+1</f>
        <v>47</v>
      </c>
      <c r="AZ14">
        <f t="shared" ref="AZ14" si="6">+AY14+1</f>
        <v>48</v>
      </c>
      <c r="BA14">
        <f t="shared" ref="BA14" si="7">+AZ14+1</f>
        <v>49</v>
      </c>
      <c r="BB14">
        <f t="shared" ref="BB14" si="8">+BA14+1</f>
        <v>50</v>
      </c>
      <c r="BC14">
        <f t="shared" ref="BC14" si="9">+BB14+1</f>
        <v>51</v>
      </c>
      <c r="BD14" s="23">
        <f t="shared" ref="BD14" si="10">+BC14+1</f>
        <v>52</v>
      </c>
    </row>
    <row r="15" spans="1:57" ht="17.25" x14ac:dyDescent="0.4">
      <c r="A15" s="11"/>
      <c r="B15" s="22"/>
      <c r="C15" s="23"/>
      <c r="E15" s="59" t="s">
        <v>57</v>
      </c>
      <c r="F15" s="60"/>
      <c r="G15" s="58" t="s">
        <v>59</v>
      </c>
      <c r="H15" s="58"/>
      <c r="I15" s="58"/>
      <c r="J15" s="58"/>
      <c r="K15" s="58"/>
      <c r="L15" s="58"/>
      <c r="M15" s="58"/>
      <c r="N15" s="58"/>
      <c r="O15" s="62" t="s">
        <v>60</v>
      </c>
      <c r="P15" s="63"/>
      <c r="Q15" s="63"/>
      <c r="R15" s="63"/>
      <c r="S15" s="63"/>
      <c r="T15" s="58" t="s">
        <v>27</v>
      </c>
      <c r="U15" s="81"/>
      <c r="V15" s="81"/>
      <c r="W15" s="81"/>
      <c r="X15" s="81"/>
      <c r="Y15" s="81"/>
      <c r="Z15" s="81"/>
      <c r="AA15" s="81"/>
      <c r="AB15" s="81"/>
      <c r="AC15" s="81"/>
      <c r="AD15" s="81"/>
      <c r="AE15" s="81"/>
      <c r="AF15" s="81"/>
      <c r="AG15" s="81"/>
      <c r="AH15" s="81"/>
      <c r="AI15" s="81"/>
      <c r="AJ15" s="81"/>
      <c r="AK15" s="81"/>
      <c r="AL15" s="81"/>
      <c r="AM15" s="81"/>
      <c r="AN15" s="81"/>
      <c r="AO15" s="81"/>
      <c r="AP15" s="81"/>
      <c r="AQ15" s="69" t="s">
        <v>77</v>
      </c>
      <c r="AR15" s="70"/>
      <c r="AS15" s="70"/>
      <c r="AT15" s="70"/>
      <c r="AU15" s="70"/>
      <c r="AV15" s="70"/>
      <c r="AW15" s="70"/>
      <c r="AX15" s="70"/>
      <c r="AY15" s="70"/>
      <c r="AZ15" s="70"/>
      <c r="BA15" s="70"/>
      <c r="BB15" s="60" t="s">
        <v>57</v>
      </c>
      <c r="BC15" s="73"/>
      <c r="BD15" s="74"/>
      <c r="BE15" s="6"/>
    </row>
    <row r="16" spans="1:57" ht="90" x14ac:dyDescent="0.25">
      <c r="A16" s="11"/>
      <c r="B16" s="22"/>
      <c r="C16" s="23"/>
      <c r="E16" s="55" t="s">
        <v>12</v>
      </c>
      <c r="F16" s="48" t="s">
        <v>11</v>
      </c>
      <c r="G16" s="56" t="s">
        <v>38</v>
      </c>
      <c r="H16" s="56" t="s">
        <v>7</v>
      </c>
      <c r="I16" s="56" t="s">
        <v>0</v>
      </c>
      <c r="J16" s="56" t="s">
        <v>1</v>
      </c>
      <c r="K16" s="56" t="s">
        <v>2</v>
      </c>
      <c r="L16" s="56" t="s">
        <v>3</v>
      </c>
      <c r="M16" s="56" t="s">
        <v>6</v>
      </c>
      <c r="N16" s="57" t="s">
        <v>15</v>
      </c>
      <c r="O16" s="41" t="s">
        <v>4</v>
      </c>
      <c r="P16" s="41" t="s">
        <v>8</v>
      </c>
      <c r="Q16" s="41" t="s">
        <v>10</v>
      </c>
      <c r="R16" s="41" t="s">
        <v>21</v>
      </c>
      <c r="S16" s="61" t="s">
        <v>15</v>
      </c>
      <c r="T16" s="56" t="s">
        <v>17</v>
      </c>
      <c r="U16" s="56" t="s">
        <v>18</v>
      </c>
      <c r="V16" s="56" t="s">
        <v>44</v>
      </c>
      <c r="W16" s="56" t="s">
        <v>133</v>
      </c>
      <c r="X16" s="56" t="s">
        <v>154</v>
      </c>
      <c r="Y16" s="56" t="str">
        <f>"Total fixed payment"</f>
        <v>Total fixed payment</v>
      </c>
      <c r="Z16" s="56" t="s">
        <v>28</v>
      </c>
      <c r="AA16" s="56" t="s">
        <v>19</v>
      </c>
      <c r="AB16" s="56" t="s">
        <v>23</v>
      </c>
      <c r="AC16" s="56" t="s">
        <v>45</v>
      </c>
      <c r="AD16" s="56" t="s">
        <v>20</v>
      </c>
      <c r="AE16" s="56" t="s">
        <v>47</v>
      </c>
      <c r="AF16" s="56" t="s">
        <v>46</v>
      </c>
      <c r="AG16" s="56" t="s">
        <v>29</v>
      </c>
      <c r="AH16" s="56" t="s">
        <v>49</v>
      </c>
      <c r="AI16" s="80" t="s">
        <v>30</v>
      </c>
      <c r="AJ16" s="80" t="s">
        <v>31</v>
      </c>
      <c r="AK16" s="80" t="s">
        <v>32</v>
      </c>
      <c r="AL16" s="56" t="s">
        <v>36</v>
      </c>
      <c r="AM16" s="56" t="s">
        <v>34</v>
      </c>
      <c r="AN16" s="56" t="s">
        <v>33</v>
      </c>
      <c r="AO16" s="56" t="s">
        <v>48</v>
      </c>
      <c r="AP16" s="56" t="s">
        <v>35</v>
      </c>
      <c r="AQ16" s="68" t="s">
        <v>41</v>
      </c>
      <c r="AR16" s="68" t="s">
        <v>42</v>
      </c>
      <c r="AS16" s="68" t="s">
        <v>43</v>
      </c>
      <c r="AT16" s="68" t="s">
        <v>50</v>
      </c>
      <c r="AU16" s="68" t="s">
        <v>101</v>
      </c>
      <c r="AV16" s="68" t="s">
        <v>78</v>
      </c>
      <c r="AW16" s="68" t="s">
        <v>51</v>
      </c>
      <c r="AX16" s="68" t="s">
        <v>58</v>
      </c>
      <c r="AY16" s="68" t="s">
        <v>53</v>
      </c>
      <c r="AZ16" s="68" t="s">
        <v>73</v>
      </c>
      <c r="BA16" s="68" t="s">
        <v>52</v>
      </c>
      <c r="BB16" s="71" t="s">
        <v>54</v>
      </c>
      <c r="BC16" s="71" t="s">
        <v>55</v>
      </c>
      <c r="BD16" s="72" t="s">
        <v>24</v>
      </c>
      <c r="BE16" s="1"/>
    </row>
    <row r="17" spans="1:62" x14ac:dyDescent="0.25">
      <c r="B17" s="27" t="s">
        <v>93</v>
      </c>
      <c r="C17" s="28"/>
      <c r="D17" s="8"/>
      <c r="E17" s="122">
        <v>0</v>
      </c>
      <c r="F17" s="3">
        <v>44561</v>
      </c>
      <c r="G17" s="3">
        <v>44531</v>
      </c>
      <c r="H17" s="3">
        <v>45657</v>
      </c>
      <c r="I17" s="3" t="s">
        <v>61</v>
      </c>
      <c r="J17" s="3">
        <v>46387</v>
      </c>
      <c r="K17" s="3" t="s">
        <v>61</v>
      </c>
      <c r="L17" s="3">
        <v>45292</v>
      </c>
      <c r="M17" s="3">
        <f>IF(K17="Yes",MIN(EOMONTH(H17,0),EOMONTH(L17,0)),IF(I17="Yes",EOMONTH(J17,0),H17))</f>
        <v>45657</v>
      </c>
      <c r="N17" s="122">
        <f>(YEAR(M17)-YEAR(G17))*12+MONTH(M17)-MONTH(G17)</f>
        <v>36</v>
      </c>
      <c r="O17" s="3" t="s">
        <v>61</v>
      </c>
      <c r="P17" s="122">
        <v>10</v>
      </c>
      <c r="Q17" s="3">
        <f>+EDATE(G17,P17*12)</f>
        <v>48183</v>
      </c>
      <c r="R17" s="3">
        <f>IF(O17="Yes",EOMONTH(Q17,0),IF(IDATE(Q17),MIN(EOMONTH(M17,0),EOMONTH(Q17,0)),EOMONTH(M17,0)))</f>
        <v>45657</v>
      </c>
      <c r="S17" s="122">
        <f>(YEAR(R17)-YEAR(G17))*12+MONTH(R17)-MONTH(G17)</f>
        <v>36</v>
      </c>
      <c r="T17" s="5">
        <v>4.4999999999999998E-2</v>
      </c>
      <c r="U17" s="5">
        <v>5.6000000000000001E-2</v>
      </c>
      <c r="V17" t="s">
        <v>134</v>
      </c>
      <c r="W17" s="5">
        <v>4.5510066248739545E-3</v>
      </c>
      <c r="Y17" s="94">
        <v>0</v>
      </c>
      <c r="Z17" s="94">
        <v>0</v>
      </c>
      <c r="AA17" s="94">
        <f t="shared" ref="AA17:AA53" si="11">Y17-Z17</f>
        <v>0</v>
      </c>
      <c r="AB17" s="94"/>
      <c r="AC17" s="94">
        <f t="shared" ref="AC17:AC53" si="12">AA17+AB17</f>
        <v>0</v>
      </c>
      <c r="AD17" s="94">
        <v>20000</v>
      </c>
      <c r="AE17" s="94">
        <v>0</v>
      </c>
      <c r="AF17" s="94">
        <v>0</v>
      </c>
      <c r="AG17" s="94">
        <f>NPV(W17,AC17:AC53)</f>
        <v>350693.31247217354</v>
      </c>
      <c r="AH17">
        <f t="shared" ref="AH17:AH53" si="13">N17-((YEAR(F17)-YEAR(G17))*12+MONTH(F17)-MONTH(G17))</f>
        <v>36</v>
      </c>
      <c r="AI17" s="94">
        <f t="shared" ref="AI17:AI53" si="14">AD17/POWER(1+W17,AH17+1)</f>
        <v>16906.988135346979</v>
      </c>
      <c r="AJ17" s="94">
        <f t="shared" ref="AJ17:AJ53" si="15">AE17/POWER(1+W17,AH17+1)</f>
        <v>0</v>
      </c>
      <c r="AK17" s="94">
        <f t="shared" ref="AK17:AK53" si="16">AF17/POWER(1+W17,AH17+1)</f>
        <v>0</v>
      </c>
      <c r="AL17" s="94">
        <f>AG17+AI17+AJ17+AK17</f>
        <v>367600.3006075205</v>
      </c>
      <c r="AM17" s="94">
        <f t="shared" ref="AM17:AM53" si="17">(AG17+AI17+AJ17+AK17)*W17</f>
        <v>1672.9514033704829</v>
      </c>
      <c r="AN17" s="94">
        <f t="shared" ref="AN17:AN53" si="18">-AC17</f>
        <v>0</v>
      </c>
      <c r="AO17" s="94">
        <f t="shared" ref="AO17:AO53" si="19">AG17+AI17+AJ17+AK17-AL17</f>
        <v>0</v>
      </c>
      <c r="AP17" s="94">
        <f t="shared" ref="AP17:AP53" si="20">AL17+AM17+AN17+AO17</f>
        <v>369273.25201089098</v>
      </c>
      <c r="AQ17" s="94">
        <v>0</v>
      </c>
      <c r="AR17" s="94">
        <v>0</v>
      </c>
      <c r="AS17" s="94">
        <v>0</v>
      </c>
      <c r="AT17" s="94">
        <f>AL17+AQ17+AR17+AS17</f>
        <v>367600.3006075205</v>
      </c>
      <c r="AU17" s="94">
        <v>20000</v>
      </c>
      <c r="AV17" s="94"/>
      <c r="AW17" s="94">
        <f t="shared" ref="AW17:AW53" si="21">AO17</f>
        <v>0</v>
      </c>
      <c r="AX17" s="94">
        <v>0</v>
      </c>
      <c r="AY17">
        <f t="shared" ref="AY17:AY53" si="22">S17-((YEAR(F17)-YEAR(G17))*12+MONTH(F17)-MONTH(G17))</f>
        <v>36</v>
      </c>
      <c r="AZ17" s="94">
        <f t="shared" ref="AZ17:AZ53" si="23">(AT17-AU17-AV17+AW17+AX17)/(AY17+1)</f>
        <v>9394.6027191221765</v>
      </c>
      <c r="BA17" s="94">
        <f t="shared" ref="BA17:BA53" si="24">AT17-AV17+AW17+AX17-AZ17</f>
        <v>358205.69788839831</v>
      </c>
      <c r="BB17" t="s">
        <v>9</v>
      </c>
      <c r="BC17" t="s">
        <v>56</v>
      </c>
      <c r="BD17" s="9">
        <v>45167.517858796295</v>
      </c>
      <c r="BF17" s="4"/>
      <c r="BG17" s="4"/>
      <c r="BH17" s="8"/>
      <c r="BI17" s="4"/>
    </row>
    <row r="18" spans="1:62" x14ac:dyDescent="0.25">
      <c r="A18" s="11"/>
      <c r="B18" s="22" t="s">
        <v>37</v>
      </c>
      <c r="C18" s="25" t="s">
        <v>9</v>
      </c>
      <c r="D18" s="8"/>
      <c r="E18" s="122">
        <v>1</v>
      </c>
      <c r="F18" s="3">
        <v>44592</v>
      </c>
      <c r="G18" s="3">
        <v>44531</v>
      </c>
      <c r="H18" s="3">
        <v>45657</v>
      </c>
      <c r="I18" s="3" t="s">
        <v>61</v>
      </c>
      <c r="J18" s="3">
        <v>46387</v>
      </c>
      <c r="K18" s="3" t="s">
        <v>61</v>
      </c>
      <c r="L18" s="3">
        <v>45292</v>
      </c>
      <c r="M18" s="3">
        <v>45657</v>
      </c>
      <c r="N18" s="122">
        <v>36</v>
      </c>
      <c r="O18" s="3" t="s">
        <v>61</v>
      </c>
      <c r="P18" s="122">
        <v>10</v>
      </c>
      <c r="Q18" s="3">
        <v>48183</v>
      </c>
      <c r="R18" s="3">
        <v>45657</v>
      </c>
      <c r="S18" s="122">
        <v>36</v>
      </c>
      <c r="T18" s="5">
        <v>4.4999999999999998E-2</v>
      </c>
      <c r="U18" s="5">
        <v>5.6000000000000001E-2</v>
      </c>
      <c r="V18" t="s">
        <v>134</v>
      </c>
      <c r="W18" s="5">
        <v>4.5510066248739545E-3</v>
      </c>
      <c r="Y18" s="94">
        <v>0</v>
      </c>
      <c r="Z18" s="94">
        <v>0</v>
      </c>
      <c r="AA18" s="94">
        <f t="shared" si="11"/>
        <v>0</v>
      </c>
      <c r="AB18" s="94"/>
      <c r="AC18" s="94">
        <f t="shared" si="12"/>
        <v>0</v>
      </c>
      <c r="AD18" s="94">
        <v>20000</v>
      </c>
      <c r="AE18" s="94">
        <v>0</v>
      </c>
      <c r="AF18" s="94">
        <v>0</v>
      </c>
      <c r="AG18" s="94">
        <f>NPV(W18,AC18:AC53)</f>
        <v>352289.32006053341</v>
      </c>
      <c r="AH18">
        <f t="shared" si="13"/>
        <v>35</v>
      </c>
      <c r="AI18" s="94">
        <f t="shared" si="14"/>
        <v>16983.931950357608</v>
      </c>
      <c r="AJ18" s="94">
        <f t="shared" si="15"/>
        <v>0</v>
      </c>
      <c r="AK18" s="94">
        <f t="shared" si="16"/>
        <v>0</v>
      </c>
      <c r="AL18" s="94">
        <f t="shared" ref="AL18:AL53" si="25">AP17</f>
        <v>369273.25201089098</v>
      </c>
      <c r="AM18" s="94">
        <f t="shared" si="17"/>
        <v>1680.5650162903144</v>
      </c>
      <c r="AN18" s="94">
        <f t="shared" si="18"/>
        <v>0</v>
      </c>
      <c r="AO18" s="94">
        <f t="shared" si="19"/>
        <v>0</v>
      </c>
      <c r="AP18" s="94">
        <f t="shared" si="20"/>
        <v>370953.81702718127</v>
      </c>
      <c r="AQ18" s="94">
        <v>0</v>
      </c>
      <c r="AR18" s="94">
        <v>0</v>
      </c>
      <c r="AS18" s="94">
        <v>0</v>
      </c>
      <c r="AT18" s="94">
        <f t="shared" ref="AT18:AT53" si="26">BA17</f>
        <v>358205.69788839831</v>
      </c>
      <c r="AU18" s="94">
        <v>20000</v>
      </c>
      <c r="AV18" s="94"/>
      <c r="AW18" s="94">
        <f t="shared" si="21"/>
        <v>0</v>
      </c>
      <c r="AX18" s="94">
        <f t="shared" ref="AX18:AX53" si="27">AQ18+AR18+AS18-AQ17-AR17-AS17</f>
        <v>0</v>
      </c>
      <c r="AY18">
        <f t="shared" si="22"/>
        <v>35</v>
      </c>
      <c r="AZ18" s="94">
        <f t="shared" si="23"/>
        <v>9394.6027191221747</v>
      </c>
      <c r="BA18" s="94">
        <f t="shared" si="24"/>
        <v>348811.09516927612</v>
      </c>
      <c r="BB18" t="s">
        <v>9</v>
      </c>
      <c r="BC18" t="s">
        <v>56</v>
      </c>
      <c r="BD18" s="9">
        <v>45167.517858796295</v>
      </c>
      <c r="BF18" s="4"/>
      <c r="BG18" s="4"/>
      <c r="BH18" s="8"/>
      <c r="BI18" s="4"/>
      <c r="BJ18" s="8"/>
    </row>
    <row r="19" spans="1:62" x14ac:dyDescent="0.25">
      <c r="A19" s="11"/>
      <c r="B19" s="22" t="s">
        <v>103</v>
      </c>
      <c r="C19" s="26">
        <v>44985</v>
      </c>
      <c r="D19" s="8"/>
      <c r="E19" s="122">
        <v>2</v>
      </c>
      <c r="F19" s="3">
        <v>44620</v>
      </c>
      <c r="G19" s="3">
        <v>44531</v>
      </c>
      <c r="H19" s="3">
        <v>45657</v>
      </c>
      <c r="I19" s="3" t="s">
        <v>61</v>
      </c>
      <c r="J19" s="3">
        <v>46387</v>
      </c>
      <c r="K19" s="3" t="s">
        <v>61</v>
      </c>
      <c r="L19" s="3">
        <v>45292</v>
      </c>
      <c r="M19" s="3">
        <v>45657</v>
      </c>
      <c r="N19" s="122">
        <v>36</v>
      </c>
      <c r="O19" s="3" t="s">
        <v>61</v>
      </c>
      <c r="P19" s="122">
        <v>10</v>
      </c>
      <c r="Q19" s="3">
        <v>48183</v>
      </c>
      <c r="R19" s="3">
        <v>45657</v>
      </c>
      <c r="S19" s="122">
        <v>36</v>
      </c>
      <c r="T19" s="5">
        <v>4.4999999999999998E-2</v>
      </c>
      <c r="U19" s="5">
        <v>5.6000000000000001E-2</v>
      </c>
      <c r="V19" t="s">
        <v>134</v>
      </c>
      <c r="W19" s="5">
        <v>4.5510066248739545E-3</v>
      </c>
      <c r="Y19" s="94">
        <v>0</v>
      </c>
      <c r="Z19" s="94">
        <v>0</v>
      </c>
      <c r="AA19" s="94">
        <f t="shared" si="11"/>
        <v>0</v>
      </c>
      <c r="AB19" s="94"/>
      <c r="AC19" s="94">
        <f t="shared" si="12"/>
        <v>0</v>
      </c>
      <c r="AD19" s="94">
        <v>20000</v>
      </c>
      <c r="AE19" s="94">
        <v>0</v>
      </c>
      <c r="AF19" s="94">
        <v>0</v>
      </c>
      <c r="AG19" s="94">
        <f>NPV(W19,AC19:AC53)</f>
        <v>353892.59109000128</v>
      </c>
      <c r="AH19">
        <f t="shared" si="13"/>
        <v>34</v>
      </c>
      <c r="AI19" s="94">
        <f t="shared" si="14"/>
        <v>17061.225937180086</v>
      </c>
      <c r="AJ19" s="94">
        <f t="shared" si="15"/>
        <v>0</v>
      </c>
      <c r="AK19" s="94">
        <f t="shared" si="16"/>
        <v>0</v>
      </c>
      <c r="AL19" s="94">
        <f t="shared" si="25"/>
        <v>370953.81702718127</v>
      </c>
      <c r="AM19" s="94">
        <f t="shared" si="17"/>
        <v>1688.2132788129832</v>
      </c>
      <c r="AN19" s="94">
        <f t="shared" si="18"/>
        <v>0</v>
      </c>
      <c r="AO19" s="94">
        <f t="shared" si="19"/>
        <v>0</v>
      </c>
      <c r="AP19" s="94">
        <f t="shared" si="20"/>
        <v>372642.03030599427</v>
      </c>
      <c r="AQ19" s="94">
        <v>0</v>
      </c>
      <c r="AR19" s="94">
        <v>0</v>
      </c>
      <c r="AS19" s="94">
        <v>0</v>
      </c>
      <c r="AT19" s="94">
        <f t="shared" si="26"/>
        <v>348811.09516927612</v>
      </c>
      <c r="AU19" s="94">
        <v>20000</v>
      </c>
      <c r="AV19" s="94"/>
      <c r="AW19" s="94">
        <f t="shared" si="21"/>
        <v>0</v>
      </c>
      <c r="AX19" s="94">
        <f t="shared" si="27"/>
        <v>0</v>
      </c>
      <c r="AY19">
        <f t="shared" si="22"/>
        <v>34</v>
      </c>
      <c r="AZ19" s="94">
        <f t="shared" si="23"/>
        <v>9394.6027191221747</v>
      </c>
      <c r="BA19" s="94">
        <f t="shared" si="24"/>
        <v>339416.49245015392</v>
      </c>
      <c r="BB19" t="s">
        <v>9</v>
      </c>
      <c r="BC19" t="s">
        <v>56</v>
      </c>
      <c r="BD19" s="9">
        <v>45167.517858796295</v>
      </c>
      <c r="BF19" s="4"/>
      <c r="BG19" s="4"/>
      <c r="BH19" s="8"/>
      <c r="BI19" s="4"/>
    </row>
    <row r="20" spans="1:62" x14ac:dyDescent="0.25">
      <c r="A20" s="11"/>
      <c r="B20" s="22" t="s">
        <v>55</v>
      </c>
      <c r="C20" s="25" t="s">
        <v>56</v>
      </c>
      <c r="D20" s="8"/>
      <c r="E20" s="122">
        <v>3</v>
      </c>
      <c r="F20" s="3">
        <v>44651</v>
      </c>
      <c r="G20" s="3">
        <v>44531</v>
      </c>
      <c r="H20" s="3">
        <v>45657</v>
      </c>
      <c r="I20" s="3" t="s">
        <v>61</v>
      </c>
      <c r="J20" s="3">
        <v>46387</v>
      </c>
      <c r="K20" s="3" t="s">
        <v>61</v>
      </c>
      <c r="L20" s="3">
        <v>45292</v>
      </c>
      <c r="M20" s="3">
        <v>45657</v>
      </c>
      <c r="N20" s="122">
        <v>36</v>
      </c>
      <c r="O20" s="3" t="s">
        <v>61</v>
      </c>
      <c r="P20" s="122">
        <v>10</v>
      </c>
      <c r="Q20" s="3">
        <v>48183</v>
      </c>
      <c r="R20" s="3">
        <v>45657</v>
      </c>
      <c r="S20" s="122">
        <v>36</v>
      </c>
      <c r="T20" s="5">
        <v>4.4999999999999998E-2</v>
      </c>
      <c r="U20" s="5">
        <v>5.6000000000000001E-2</v>
      </c>
      <c r="V20" t="s">
        <v>134</v>
      </c>
      <c r="W20" s="5">
        <v>4.5510066248739545E-3</v>
      </c>
      <c r="Y20" s="94">
        <v>0</v>
      </c>
      <c r="Z20" s="94">
        <v>0</v>
      </c>
      <c r="AA20" s="94">
        <f t="shared" si="11"/>
        <v>0</v>
      </c>
      <c r="AB20" s="94"/>
      <c r="AC20" s="94">
        <f t="shared" si="12"/>
        <v>0</v>
      </c>
      <c r="AD20" s="94">
        <v>20000</v>
      </c>
      <c r="AE20" s="94">
        <v>0</v>
      </c>
      <c r="AF20" s="94">
        <v>0</v>
      </c>
      <c r="AG20" s="94">
        <f>NPV(W20,AC20:AC53)</f>
        <v>355503.15861654567</v>
      </c>
      <c r="AH20">
        <f t="shared" si="13"/>
        <v>33</v>
      </c>
      <c r="AI20" s="94">
        <f t="shared" si="14"/>
        <v>17138.871689448668</v>
      </c>
      <c r="AJ20" s="94">
        <f t="shared" si="15"/>
        <v>0</v>
      </c>
      <c r="AK20" s="94">
        <f t="shared" si="16"/>
        <v>0</v>
      </c>
      <c r="AL20" s="94">
        <f t="shared" si="25"/>
        <v>372642.03030599427</v>
      </c>
      <c r="AM20" s="94">
        <f t="shared" si="17"/>
        <v>1695.8963486290611</v>
      </c>
      <c r="AN20" s="94">
        <f t="shared" si="18"/>
        <v>0</v>
      </c>
      <c r="AO20" s="94">
        <f t="shared" si="19"/>
        <v>0</v>
      </c>
      <c r="AP20" s="94">
        <f t="shared" si="20"/>
        <v>374337.92665462336</v>
      </c>
      <c r="AQ20" s="94">
        <v>0</v>
      </c>
      <c r="AR20" s="94">
        <v>0</v>
      </c>
      <c r="AS20" s="94">
        <v>0</v>
      </c>
      <c r="AT20" s="94">
        <f t="shared" si="26"/>
        <v>339416.49245015392</v>
      </c>
      <c r="AU20" s="94">
        <v>20000</v>
      </c>
      <c r="AV20" s="94"/>
      <c r="AW20" s="94">
        <f t="shared" si="21"/>
        <v>0</v>
      </c>
      <c r="AX20" s="94">
        <f t="shared" si="27"/>
        <v>0</v>
      </c>
      <c r="AY20">
        <f t="shared" si="22"/>
        <v>33</v>
      </c>
      <c r="AZ20" s="94">
        <f t="shared" si="23"/>
        <v>9394.6027191221747</v>
      </c>
      <c r="BA20" s="94">
        <f t="shared" si="24"/>
        <v>330021.88973103173</v>
      </c>
      <c r="BB20" t="s">
        <v>9</v>
      </c>
      <c r="BC20" t="s">
        <v>56</v>
      </c>
      <c r="BD20" s="9">
        <v>45167.517858796295</v>
      </c>
      <c r="BH20" s="4"/>
    </row>
    <row r="21" spans="1:62" x14ac:dyDescent="0.25">
      <c r="A21" s="11"/>
      <c r="B21" s="22"/>
      <c r="C21" s="23"/>
      <c r="D21" s="8"/>
      <c r="E21" s="122">
        <v>4</v>
      </c>
      <c r="F21" s="3">
        <v>44681</v>
      </c>
      <c r="G21" s="3">
        <v>44531</v>
      </c>
      <c r="H21" s="3">
        <v>45657</v>
      </c>
      <c r="I21" s="3" t="s">
        <v>61</v>
      </c>
      <c r="J21" s="3">
        <v>46387</v>
      </c>
      <c r="K21" s="3" t="s">
        <v>61</v>
      </c>
      <c r="L21" s="3">
        <v>45292</v>
      </c>
      <c r="M21" s="3">
        <v>45657</v>
      </c>
      <c r="N21" s="122">
        <v>36</v>
      </c>
      <c r="O21" s="3" t="s">
        <v>61</v>
      </c>
      <c r="P21" s="122">
        <v>10</v>
      </c>
      <c r="Q21" s="3">
        <v>48183</v>
      </c>
      <c r="R21" s="3">
        <v>45657</v>
      </c>
      <c r="S21" s="122">
        <v>36</v>
      </c>
      <c r="T21" s="5">
        <v>4.4999999999999998E-2</v>
      </c>
      <c r="U21" s="5">
        <v>5.6000000000000001E-2</v>
      </c>
      <c r="V21" t="s">
        <v>134</v>
      </c>
      <c r="W21" s="5">
        <v>4.5510066248739545E-3</v>
      </c>
      <c r="Y21" s="94">
        <v>0</v>
      </c>
      <c r="Z21" s="94">
        <v>0</v>
      </c>
      <c r="AA21" s="94">
        <f t="shared" si="11"/>
        <v>0</v>
      </c>
      <c r="AB21" s="94"/>
      <c r="AC21" s="94">
        <f t="shared" si="12"/>
        <v>0</v>
      </c>
      <c r="AD21" s="94">
        <v>20000</v>
      </c>
      <c r="AE21" s="94">
        <v>0</v>
      </c>
      <c r="AF21" s="94">
        <v>0</v>
      </c>
      <c r="AG21" s="94">
        <f>NPV(W21,AC21:AC53)</f>
        <v>357121.05584657326</v>
      </c>
      <c r="AH21">
        <f t="shared" si="13"/>
        <v>32</v>
      </c>
      <c r="AI21" s="94">
        <f t="shared" si="14"/>
        <v>17216.870808050211</v>
      </c>
      <c r="AJ21" s="94">
        <f t="shared" si="15"/>
        <v>0</v>
      </c>
      <c r="AK21" s="94">
        <f t="shared" si="16"/>
        <v>0</v>
      </c>
      <c r="AL21" s="94">
        <f t="shared" si="25"/>
        <v>374337.92665462336</v>
      </c>
      <c r="AM21" s="94">
        <f t="shared" si="17"/>
        <v>1703.614384146772</v>
      </c>
      <c r="AN21" s="94">
        <f t="shared" si="18"/>
        <v>0</v>
      </c>
      <c r="AO21" s="94">
        <f t="shared" si="19"/>
        <v>0</v>
      </c>
      <c r="AP21" s="94">
        <f t="shared" si="20"/>
        <v>376041.54103877011</v>
      </c>
      <c r="AQ21" s="94">
        <v>0</v>
      </c>
      <c r="AR21" s="94">
        <v>0</v>
      </c>
      <c r="AS21" s="94">
        <v>0</v>
      </c>
      <c r="AT21" s="94">
        <f t="shared" si="26"/>
        <v>330021.88973103173</v>
      </c>
      <c r="AU21" s="94">
        <v>20000</v>
      </c>
      <c r="AV21" s="94"/>
      <c r="AW21" s="94">
        <f t="shared" si="21"/>
        <v>0</v>
      </c>
      <c r="AX21" s="94">
        <f t="shared" si="27"/>
        <v>0</v>
      </c>
      <c r="AY21">
        <f t="shared" si="22"/>
        <v>32</v>
      </c>
      <c r="AZ21" s="94">
        <f t="shared" si="23"/>
        <v>9394.6027191221729</v>
      </c>
      <c r="BA21" s="94">
        <f t="shared" si="24"/>
        <v>320627.28701190953</v>
      </c>
      <c r="BB21" t="s">
        <v>9</v>
      </c>
      <c r="BC21" t="s">
        <v>56</v>
      </c>
      <c r="BD21" s="9">
        <v>45167.517858796295</v>
      </c>
      <c r="BH21" s="4"/>
    </row>
    <row r="22" spans="1:62" x14ac:dyDescent="0.25">
      <c r="A22" s="11"/>
      <c r="B22" s="27" t="s">
        <v>59</v>
      </c>
      <c r="C22" s="28"/>
      <c r="D22" s="8"/>
      <c r="E22" s="122">
        <v>5</v>
      </c>
      <c r="F22" s="3">
        <v>44712</v>
      </c>
      <c r="G22" s="3">
        <v>44531</v>
      </c>
      <c r="H22" s="3">
        <v>45657</v>
      </c>
      <c r="I22" s="3" t="s">
        <v>61</v>
      </c>
      <c r="J22" s="3">
        <v>46387</v>
      </c>
      <c r="K22" s="3" t="s">
        <v>61</v>
      </c>
      <c r="L22" s="3">
        <v>45292</v>
      </c>
      <c r="M22" s="3">
        <v>45657</v>
      </c>
      <c r="N22" s="122">
        <v>36</v>
      </c>
      <c r="O22" s="3" t="s">
        <v>61</v>
      </c>
      <c r="P22" s="122">
        <v>10</v>
      </c>
      <c r="Q22" s="3">
        <v>48183</v>
      </c>
      <c r="R22" s="3">
        <v>45657</v>
      </c>
      <c r="S22" s="122">
        <v>36</v>
      </c>
      <c r="T22" s="5">
        <v>4.4999999999999998E-2</v>
      </c>
      <c r="U22" s="5">
        <v>5.6000000000000001E-2</v>
      </c>
      <c r="V22" t="s">
        <v>134</v>
      </c>
      <c r="W22" s="5">
        <v>4.5510066248739545E-3</v>
      </c>
      <c r="Y22" s="94">
        <v>0</v>
      </c>
      <c r="Z22" s="94">
        <v>0</v>
      </c>
      <c r="AA22" s="94">
        <f t="shared" si="11"/>
        <v>0</v>
      </c>
      <c r="AB22" s="94"/>
      <c r="AC22" s="94">
        <f t="shared" si="12"/>
        <v>0</v>
      </c>
      <c r="AD22" s="94">
        <v>20000</v>
      </c>
      <c r="AE22" s="94">
        <v>0</v>
      </c>
      <c r="AF22" s="94">
        <v>0</v>
      </c>
      <c r="AG22" s="94">
        <f>NPV(W22,AC22:AC53)</f>
        <v>358746.31613761297</v>
      </c>
      <c r="AH22">
        <f t="shared" si="13"/>
        <v>31</v>
      </c>
      <c r="AI22" s="94">
        <f t="shared" si="14"/>
        <v>17295.224901157246</v>
      </c>
      <c r="AJ22" s="94">
        <f t="shared" si="15"/>
        <v>0</v>
      </c>
      <c r="AK22" s="94">
        <f t="shared" si="16"/>
        <v>0</v>
      </c>
      <c r="AL22" s="94">
        <f t="shared" si="25"/>
        <v>376041.54103877011</v>
      </c>
      <c r="AM22" s="94">
        <f t="shared" si="17"/>
        <v>1711.3675444952544</v>
      </c>
      <c r="AN22" s="94">
        <f t="shared" si="18"/>
        <v>0</v>
      </c>
      <c r="AO22" s="94">
        <f t="shared" si="19"/>
        <v>0</v>
      </c>
      <c r="AP22" s="94">
        <f t="shared" si="20"/>
        <v>377752.90858326538</v>
      </c>
      <c r="AQ22" s="94">
        <v>0</v>
      </c>
      <c r="AR22" s="94">
        <v>0</v>
      </c>
      <c r="AS22" s="94">
        <v>0</v>
      </c>
      <c r="AT22" s="94">
        <f t="shared" si="26"/>
        <v>320627.28701190953</v>
      </c>
      <c r="AU22" s="94">
        <v>20000</v>
      </c>
      <c r="AV22" s="94"/>
      <c r="AW22" s="94">
        <f t="shared" si="21"/>
        <v>0</v>
      </c>
      <c r="AX22" s="94">
        <f t="shared" si="27"/>
        <v>0</v>
      </c>
      <c r="AY22">
        <f t="shared" si="22"/>
        <v>31</v>
      </c>
      <c r="AZ22" s="94">
        <f t="shared" si="23"/>
        <v>9394.6027191221729</v>
      </c>
      <c r="BA22" s="94">
        <f t="shared" si="24"/>
        <v>311232.68429278734</v>
      </c>
      <c r="BB22" t="s">
        <v>9</v>
      </c>
      <c r="BC22" t="s">
        <v>56</v>
      </c>
      <c r="BD22" s="9">
        <v>45167.517858796295</v>
      </c>
    </row>
    <row r="23" spans="1:62" x14ac:dyDescent="0.25">
      <c r="A23" s="11"/>
      <c r="B23" s="16"/>
      <c r="C23" s="23"/>
      <c r="D23" s="8"/>
      <c r="E23" s="122">
        <v>6</v>
      </c>
      <c r="F23" s="3">
        <v>44742</v>
      </c>
      <c r="G23" s="3">
        <v>44531</v>
      </c>
      <c r="H23" s="3">
        <v>45657</v>
      </c>
      <c r="I23" s="3" t="s">
        <v>61</v>
      </c>
      <c r="J23" s="3">
        <v>46387</v>
      </c>
      <c r="K23" s="3" t="s">
        <v>61</v>
      </c>
      <c r="L23" s="3">
        <v>45292</v>
      </c>
      <c r="M23" s="3">
        <v>45657</v>
      </c>
      <c r="N23" s="122">
        <v>36</v>
      </c>
      <c r="O23" s="3" t="s">
        <v>61</v>
      </c>
      <c r="P23" s="122">
        <v>10</v>
      </c>
      <c r="Q23" s="3">
        <v>48183</v>
      </c>
      <c r="R23" s="3">
        <v>45657</v>
      </c>
      <c r="S23" s="122">
        <v>36</v>
      </c>
      <c r="T23" s="5">
        <v>4.4999999999999998E-2</v>
      </c>
      <c r="U23" s="5">
        <v>5.6000000000000001E-2</v>
      </c>
      <c r="V23" t="s">
        <v>134</v>
      </c>
      <c r="W23" s="5">
        <v>4.5510066248739545E-3</v>
      </c>
      <c r="Y23" s="94">
        <v>0</v>
      </c>
      <c r="Z23" s="94">
        <v>0</v>
      </c>
      <c r="AA23" s="94">
        <f t="shared" si="11"/>
        <v>0</v>
      </c>
      <c r="AB23" s="94"/>
      <c r="AC23" s="94">
        <f t="shared" si="12"/>
        <v>0</v>
      </c>
      <c r="AD23" s="94">
        <v>20000</v>
      </c>
      <c r="AE23" s="94">
        <v>0</v>
      </c>
      <c r="AF23" s="94">
        <v>0</v>
      </c>
      <c r="AG23" s="94">
        <f>NPV(W23,AC23:AC53)</f>
        <v>360378.97299900441</v>
      </c>
      <c r="AH23">
        <f t="shared" si="13"/>
        <v>30</v>
      </c>
      <c r="AI23" s="94">
        <f t="shared" si="14"/>
        <v>17373.9355842611</v>
      </c>
      <c r="AJ23" s="94">
        <f t="shared" si="15"/>
        <v>0</v>
      </c>
      <c r="AK23" s="94">
        <f t="shared" si="16"/>
        <v>0</v>
      </c>
      <c r="AL23" s="94">
        <f t="shared" si="25"/>
        <v>377752.90858326538</v>
      </c>
      <c r="AM23" s="94">
        <f t="shared" si="17"/>
        <v>1719.1559895278465</v>
      </c>
      <c r="AN23" s="94">
        <f t="shared" si="18"/>
        <v>0</v>
      </c>
      <c r="AO23" s="94">
        <f t="shared" si="19"/>
        <v>0</v>
      </c>
      <c r="AP23" s="94">
        <f t="shared" si="20"/>
        <v>379472.0645727932</v>
      </c>
      <c r="AQ23" s="94">
        <v>0</v>
      </c>
      <c r="AR23" s="94">
        <v>0</v>
      </c>
      <c r="AS23" s="94">
        <v>0</v>
      </c>
      <c r="AT23" s="94">
        <f t="shared" si="26"/>
        <v>311232.68429278734</v>
      </c>
      <c r="AU23" s="94">
        <v>20000</v>
      </c>
      <c r="AV23" s="94"/>
      <c r="AW23" s="94">
        <f t="shared" si="21"/>
        <v>0</v>
      </c>
      <c r="AX23" s="94">
        <f t="shared" si="27"/>
        <v>0</v>
      </c>
      <c r="AY23">
        <f t="shared" si="22"/>
        <v>30</v>
      </c>
      <c r="AZ23" s="94">
        <f t="shared" si="23"/>
        <v>9394.6027191221729</v>
      </c>
      <c r="BA23" s="94">
        <f t="shared" si="24"/>
        <v>301838.08157366514</v>
      </c>
      <c r="BB23" t="s">
        <v>9</v>
      </c>
      <c r="BC23" t="s">
        <v>56</v>
      </c>
      <c r="BD23" s="9">
        <v>45167.517858796295</v>
      </c>
    </row>
    <row r="24" spans="1:62" x14ac:dyDescent="0.25">
      <c r="A24" s="11"/>
      <c r="B24" s="22" t="s">
        <v>38</v>
      </c>
      <c r="C24" s="26">
        <v>44531</v>
      </c>
      <c r="D24" s="8"/>
      <c r="E24" s="122">
        <v>7</v>
      </c>
      <c r="F24" s="3">
        <v>44773</v>
      </c>
      <c r="G24" s="3">
        <v>44531</v>
      </c>
      <c r="H24" s="3">
        <v>45657</v>
      </c>
      <c r="I24" s="3" t="s">
        <v>61</v>
      </c>
      <c r="J24" s="3">
        <v>46387</v>
      </c>
      <c r="K24" s="3" t="s">
        <v>61</v>
      </c>
      <c r="L24" s="3">
        <v>45292</v>
      </c>
      <c r="M24" s="3">
        <v>45657</v>
      </c>
      <c r="N24" s="122">
        <v>36</v>
      </c>
      <c r="O24" s="3" t="s">
        <v>61</v>
      </c>
      <c r="P24" s="122">
        <v>10</v>
      </c>
      <c r="Q24" s="3">
        <v>48183</v>
      </c>
      <c r="R24" s="3">
        <v>45657</v>
      </c>
      <c r="S24" s="122">
        <v>36</v>
      </c>
      <c r="T24" s="5">
        <v>4.4999999999999998E-2</v>
      </c>
      <c r="U24" s="5">
        <v>5.6000000000000001E-2</v>
      </c>
      <c r="V24" t="s">
        <v>134</v>
      </c>
      <c r="W24" s="5">
        <v>4.5510066248739545E-3</v>
      </c>
      <c r="Y24" s="94">
        <v>0</v>
      </c>
      <c r="Z24" s="94">
        <v>0</v>
      </c>
      <c r="AA24" s="94">
        <f t="shared" si="11"/>
        <v>0</v>
      </c>
      <c r="AB24" s="94"/>
      <c r="AC24" s="94">
        <f t="shared" si="12"/>
        <v>0</v>
      </c>
      <c r="AD24" s="94">
        <v>20000</v>
      </c>
      <c r="AE24" s="94">
        <v>0</v>
      </c>
      <c r="AF24" s="94">
        <v>0</v>
      </c>
      <c r="AG24" s="94">
        <f>NPV(W24,AC24:AC53)</f>
        <v>362019.06009258807</v>
      </c>
      <c r="AH24">
        <f t="shared" si="13"/>
        <v>29</v>
      </c>
      <c r="AI24" s="94">
        <f t="shared" si="14"/>
        <v>17453.004480205203</v>
      </c>
      <c r="AJ24" s="94">
        <f t="shared" si="15"/>
        <v>0</v>
      </c>
      <c r="AK24" s="94">
        <f t="shared" si="16"/>
        <v>0</v>
      </c>
      <c r="AL24" s="94">
        <f t="shared" si="25"/>
        <v>379472.0645727932</v>
      </c>
      <c r="AM24" s="94">
        <f t="shared" si="17"/>
        <v>1726.9798798253792</v>
      </c>
      <c r="AN24" s="94">
        <f t="shared" si="18"/>
        <v>0</v>
      </c>
      <c r="AO24" s="94">
        <f t="shared" si="19"/>
        <v>0</v>
      </c>
      <c r="AP24" s="94">
        <f t="shared" si="20"/>
        <v>381199.04445261857</v>
      </c>
      <c r="AQ24" s="94">
        <v>0</v>
      </c>
      <c r="AR24" s="94">
        <v>0</v>
      </c>
      <c r="AS24" s="94">
        <v>0</v>
      </c>
      <c r="AT24" s="94">
        <f t="shared" si="26"/>
        <v>301838.08157366514</v>
      </c>
      <c r="AU24" s="94">
        <v>20000</v>
      </c>
      <c r="AV24" s="94"/>
      <c r="AW24" s="94">
        <f t="shared" si="21"/>
        <v>0</v>
      </c>
      <c r="AX24" s="94">
        <f t="shared" si="27"/>
        <v>0</v>
      </c>
      <c r="AY24">
        <f t="shared" si="22"/>
        <v>29</v>
      </c>
      <c r="AZ24" s="94">
        <f t="shared" si="23"/>
        <v>9394.602719122171</v>
      </c>
      <c r="BA24" s="94">
        <f t="shared" si="24"/>
        <v>292443.47885454295</v>
      </c>
      <c r="BB24" t="s">
        <v>9</v>
      </c>
      <c r="BC24" t="s">
        <v>56</v>
      </c>
      <c r="BD24" s="9">
        <v>45167.517858796295</v>
      </c>
    </row>
    <row r="25" spans="1:62" x14ac:dyDescent="0.25">
      <c r="A25" s="11"/>
      <c r="B25" s="22" t="s">
        <v>7</v>
      </c>
      <c r="C25" s="26">
        <v>45657</v>
      </c>
      <c r="D25" s="8"/>
      <c r="E25" s="122">
        <v>8</v>
      </c>
      <c r="F25" s="3">
        <v>44804</v>
      </c>
      <c r="G25" s="3">
        <v>44531</v>
      </c>
      <c r="H25" s="3">
        <v>45657</v>
      </c>
      <c r="I25" s="3" t="s">
        <v>61</v>
      </c>
      <c r="J25" s="3">
        <v>46387</v>
      </c>
      <c r="K25" s="3" t="s">
        <v>61</v>
      </c>
      <c r="L25" s="3">
        <v>45292</v>
      </c>
      <c r="M25" s="3">
        <v>45657</v>
      </c>
      <c r="N25" s="122">
        <v>36</v>
      </c>
      <c r="O25" s="3" t="s">
        <v>61</v>
      </c>
      <c r="P25" s="122">
        <v>10</v>
      </c>
      <c r="Q25" s="3">
        <v>48183</v>
      </c>
      <c r="R25" s="3">
        <v>45657</v>
      </c>
      <c r="S25" s="122">
        <v>36</v>
      </c>
      <c r="T25" s="5">
        <v>4.4999999999999998E-2</v>
      </c>
      <c r="U25" s="5">
        <v>5.6000000000000001E-2</v>
      </c>
      <c r="V25" t="s">
        <v>134</v>
      </c>
      <c r="W25" s="5">
        <v>4.5510066248739545E-3</v>
      </c>
      <c r="Y25" s="94">
        <v>0</v>
      </c>
      <c r="Z25" s="94">
        <v>0</v>
      </c>
      <c r="AA25" s="94">
        <f t="shared" si="11"/>
        <v>0</v>
      </c>
      <c r="AB25" s="94"/>
      <c r="AC25" s="94">
        <f t="shared" si="12"/>
        <v>0</v>
      </c>
      <c r="AD25" s="94">
        <v>20000</v>
      </c>
      <c r="AE25" s="94">
        <v>0</v>
      </c>
      <c r="AF25" s="94">
        <v>0</v>
      </c>
      <c r="AG25" s="94">
        <f>NPV(W25,AC25:AC53)</f>
        <v>363666.61123340006</v>
      </c>
      <c r="AH25">
        <f t="shared" si="13"/>
        <v>28</v>
      </c>
      <c r="AI25" s="94">
        <f t="shared" si="14"/>
        <v>17532.433219218572</v>
      </c>
      <c r="AJ25" s="94">
        <f t="shared" si="15"/>
        <v>0</v>
      </c>
      <c r="AK25" s="94">
        <f t="shared" si="16"/>
        <v>0</v>
      </c>
      <c r="AL25" s="94">
        <f t="shared" si="25"/>
        <v>381199.04445261857</v>
      </c>
      <c r="AM25" s="94">
        <f t="shared" si="17"/>
        <v>1734.8393766994884</v>
      </c>
      <c r="AN25" s="94">
        <f t="shared" si="18"/>
        <v>0</v>
      </c>
      <c r="AO25" s="94">
        <f t="shared" si="19"/>
        <v>0</v>
      </c>
      <c r="AP25" s="94">
        <f t="shared" si="20"/>
        <v>382933.88382931805</v>
      </c>
      <c r="AQ25" s="94">
        <v>0</v>
      </c>
      <c r="AR25" s="94">
        <v>0</v>
      </c>
      <c r="AS25" s="94">
        <v>0</v>
      </c>
      <c r="AT25" s="94">
        <f t="shared" si="26"/>
        <v>292443.47885454295</v>
      </c>
      <c r="AU25" s="94">
        <v>20000</v>
      </c>
      <c r="AV25" s="94"/>
      <c r="AW25" s="94">
        <f t="shared" si="21"/>
        <v>0</v>
      </c>
      <c r="AX25" s="94">
        <f t="shared" si="27"/>
        <v>0</v>
      </c>
      <c r="AY25">
        <f t="shared" si="22"/>
        <v>28</v>
      </c>
      <c r="AZ25" s="94">
        <f t="shared" si="23"/>
        <v>9394.602719122171</v>
      </c>
      <c r="BA25" s="94">
        <f t="shared" si="24"/>
        <v>283048.87613542075</v>
      </c>
      <c r="BB25" t="s">
        <v>9</v>
      </c>
      <c r="BC25" t="s">
        <v>56</v>
      </c>
      <c r="BD25" s="9">
        <v>45167.517858796295</v>
      </c>
    </row>
    <row r="26" spans="1:62" x14ac:dyDescent="0.25">
      <c r="A26" s="11"/>
      <c r="B26" s="22"/>
      <c r="C26" s="23"/>
      <c r="D26" s="8"/>
      <c r="E26" s="122">
        <v>9</v>
      </c>
      <c r="F26" s="3">
        <v>44834</v>
      </c>
      <c r="G26" s="3">
        <v>44531</v>
      </c>
      <c r="H26" s="3">
        <v>45657</v>
      </c>
      <c r="I26" s="3" t="s">
        <v>61</v>
      </c>
      <c r="J26" s="3">
        <v>46387</v>
      </c>
      <c r="K26" s="3" t="s">
        <v>61</v>
      </c>
      <c r="L26" s="3">
        <v>45292</v>
      </c>
      <c r="M26" s="3">
        <v>45657</v>
      </c>
      <c r="N26" s="122">
        <v>36</v>
      </c>
      <c r="O26" s="3" t="s">
        <v>61</v>
      </c>
      <c r="P26" s="122">
        <v>10</v>
      </c>
      <c r="Q26" s="3">
        <v>48183</v>
      </c>
      <c r="R26" s="3">
        <v>45657</v>
      </c>
      <c r="S26" s="122">
        <v>36</v>
      </c>
      <c r="T26" s="5">
        <v>4.4999999999999998E-2</v>
      </c>
      <c r="U26" s="5">
        <v>5.6000000000000001E-2</v>
      </c>
      <c r="V26" t="s">
        <v>134</v>
      </c>
      <c r="W26" s="5">
        <v>4.5510066248739545E-3</v>
      </c>
      <c r="Y26" s="94">
        <v>0</v>
      </c>
      <c r="Z26" s="94">
        <v>0</v>
      </c>
      <c r="AA26" s="94">
        <f t="shared" si="11"/>
        <v>0</v>
      </c>
      <c r="AB26" s="94"/>
      <c r="AC26" s="94">
        <f t="shared" si="12"/>
        <v>0</v>
      </c>
      <c r="AD26" s="94">
        <v>20000</v>
      </c>
      <c r="AE26" s="94">
        <v>0</v>
      </c>
      <c r="AF26" s="94">
        <v>0</v>
      </c>
      <c r="AG26" s="94">
        <f>NPV(W26,AC26:AC53)</f>
        <v>365321.66039036878</v>
      </c>
      <c r="AH26">
        <f t="shared" si="13"/>
        <v>27</v>
      </c>
      <c r="AI26" s="94">
        <f t="shared" si="14"/>
        <v>17612.223438949397</v>
      </c>
      <c r="AJ26" s="94">
        <f t="shared" si="15"/>
        <v>0</v>
      </c>
      <c r="AK26" s="94">
        <f t="shared" si="16"/>
        <v>0</v>
      </c>
      <c r="AL26" s="94">
        <f t="shared" si="25"/>
        <v>382933.88382931805</v>
      </c>
      <c r="AM26" s="94">
        <f t="shared" si="17"/>
        <v>1742.7346421959403</v>
      </c>
      <c r="AN26" s="94">
        <f t="shared" si="18"/>
        <v>0</v>
      </c>
      <c r="AO26" s="94">
        <f t="shared" si="19"/>
        <v>0</v>
      </c>
      <c r="AP26" s="94">
        <f t="shared" si="20"/>
        <v>384676.61847151397</v>
      </c>
      <c r="AQ26" s="94">
        <v>0</v>
      </c>
      <c r="AR26" s="94">
        <v>0</v>
      </c>
      <c r="AS26" s="94">
        <v>0</v>
      </c>
      <c r="AT26" s="94">
        <f t="shared" si="26"/>
        <v>283048.87613542075</v>
      </c>
      <c r="AU26" s="94">
        <v>20000</v>
      </c>
      <c r="AV26" s="94"/>
      <c r="AW26" s="94">
        <f t="shared" si="21"/>
        <v>0</v>
      </c>
      <c r="AX26" s="94">
        <f t="shared" si="27"/>
        <v>0</v>
      </c>
      <c r="AY26">
        <f t="shared" si="22"/>
        <v>27</v>
      </c>
      <c r="AZ26" s="94">
        <f t="shared" si="23"/>
        <v>9394.6027191221692</v>
      </c>
      <c r="BA26" s="94">
        <f t="shared" si="24"/>
        <v>273654.27341629856</v>
      </c>
      <c r="BB26" t="s">
        <v>9</v>
      </c>
      <c r="BC26" t="s">
        <v>56</v>
      </c>
      <c r="BD26" s="9">
        <v>45167.517858796295</v>
      </c>
    </row>
    <row r="27" spans="1:62" x14ac:dyDescent="0.25">
      <c r="A27" s="11"/>
      <c r="B27" s="22" t="s">
        <v>0</v>
      </c>
      <c r="C27" s="25" t="s">
        <v>61</v>
      </c>
      <c r="D27" s="8"/>
      <c r="E27" s="122">
        <v>10</v>
      </c>
      <c r="F27" s="3">
        <v>44865</v>
      </c>
      <c r="G27" s="3">
        <v>44531</v>
      </c>
      <c r="H27" s="3">
        <v>45657</v>
      </c>
      <c r="I27" s="3" t="s">
        <v>61</v>
      </c>
      <c r="J27" s="3">
        <v>46387</v>
      </c>
      <c r="K27" s="3" t="s">
        <v>61</v>
      </c>
      <c r="L27" s="3">
        <v>45292</v>
      </c>
      <c r="M27" s="3">
        <v>45657</v>
      </c>
      <c r="N27" s="122">
        <v>36</v>
      </c>
      <c r="O27" s="3" t="s">
        <v>61</v>
      </c>
      <c r="P27" s="122">
        <v>10</v>
      </c>
      <c r="Q27" s="3">
        <v>48183</v>
      </c>
      <c r="R27" s="3">
        <v>45657</v>
      </c>
      <c r="S27" s="122">
        <v>36</v>
      </c>
      <c r="T27" s="5">
        <v>4.4999999999999998E-2</v>
      </c>
      <c r="U27" s="5">
        <v>5.6000000000000001E-2</v>
      </c>
      <c r="V27" t="s">
        <v>134</v>
      </c>
      <c r="W27" s="5">
        <v>4.5510066248739545E-3</v>
      </c>
      <c r="Y27" s="94">
        <v>0</v>
      </c>
      <c r="Z27" s="94">
        <v>0</v>
      </c>
      <c r="AA27" s="94">
        <f t="shared" si="11"/>
        <v>0</v>
      </c>
      <c r="AB27" s="94"/>
      <c r="AC27" s="94">
        <f t="shared" si="12"/>
        <v>0</v>
      </c>
      <c r="AD27" s="94">
        <v>20000</v>
      </c>
      <c r="AE27" s="94">
        <v>0</v>
      </c>
      <c r="AF27" s="94">
        <v>0</v>
      </c>
      <c r="AG27" s="94">
        <f>NPV(W27,AC27:AC53)</f>
        <v>366984.24168701528</v>
      </c>
      <c r="AH27">
        <f t="shared" si="13"/>
        <v>26</v>
      </c>
      <c r="AI27" s="94">
        <f t="shared" si="14"/>
        <v>17692.376784498811</v>
      </c>
      <c r="AJ27" s="94">
        <f t="shared" si="15"/>
        <v>0</v>
      </c>
      <c r="AK27" s="94">
        <f t="shared" si="16"/>
        <v>0</v>
      </c>
      <c r="AL27" s="94">
        <f t="shared" si="25"/>
        <v>384676.61847151397</v>
      </c>
      <c r="AM27" s="94">
        <f t="shared" si="17"/>
        <v>1750.6658390979712</v>
      </c>
      <c r="AN27" s="94">
        <f t="shared" si="18"/>
        <v>0</v>
      </c>
      <c r="AO27" s="94">
        <f t="shared" si="19"/>
        <v>0</v>
      </c>
      <c r="AP27" s="94">
        <f t="shared" si="20"/>
        <v>386427.28431061195</v>
      </c>
      <c r="AQ27" s="94">
        <v>0</v>
      </c>
      <c r="AR27" s="94">
        <v>0</v>
      </c>
      <c r="AS27" s="94">
        <v>0</v>
      </c>
      <c r="AT27" s="94">
        <f t="shared" si="26"/>
        <v>273654.27341629856</v>
      </c>
      <c r="AU27" s="94">
        <v>20000</v>
      </c>
      <c r="AV27" s="94"/>
      <c r="AW27" s="94">
        <f t="shared" si="21"/>
        <v>0</v>
      </c>
      <c r="AX27" s="94">
        <f t="shared" si="27"/>
        <v>0</v>
      </c>
      <c r="AY27">
        <f t="shared" si="22"/>
        <v>26</v>
      </c>
      <c r="AZ27" s="94">
        <f t="shared" si="23"/>
        <v>9394.6027191221692</v>
      </c>
      <c r="BA27" s="94">
        <f t="shared" si="24"/>
        <v>264259.67069717636</v>
      </c>
      <c r="BB27" t="s">
        <v>9</v>
      </c>
      <c r="BC27" t="s">
        <v>56</v>
      </c>
      <c r="BD27" s="9">
        <v>45167.517858796295</v>
      </c>
    </row>
    <row r="28" spans="1:62" x14ac:dyDescent="0.25">
      <c r="A28" s="11"/>
      <c r="B28" s="22" t="s">
        <v>1</v>
      </c>
      <c r="C28" s="26">
        <v>46387</v>
      </c>
      <c r="D28" s="8"/>
      <c r="E28" s="122">
        <v>11</v>
      </c>
      <c r="F28" s="3">
        <v>44895</v>
      </c>
      <c r="G28" s="3">
        <v>44531</v>
      </c>
      <c r="H28" s="3">
        <v>45657</v>
      </c>
      <c r="I28" s="3" t="s">
        <v>61</v>
      </c>
      <c r="J28" s="3">
        <v>46387</v>
      </c>
      <c r="K28" s="3" t="s">
        <v>61</v>
      </c>
      <c r="L28" s="3">
        <v>45292</v>
      </c>
      <c r="M28" s="3">
        <v>45657</v>
      </c>
      <c r="N28" s="122">
        <v>36</v>
      </c>
      <c r="O28" s="3" t="s">
        <v>61</v>
      </c>
      <c r="P28" s="122">
        <v>10</v>
      </c>
      <c r="Q28" s="3">
        <v>48183</v>
      </c>
      <c r="R28" s="3">
        <v>45657</v>
      </c>
      <c r="S28" s="122">
        <v>36</v>
      </c>
      <c r="T28" s="5">
        <v>4.4999999999999998E-2</v>
      </c>
      <c r="U28" s="5">
        <v>5.6000000000000001E-2</v>
      </c>
      <c r="V28" t="s">
        <v>134</v>
      </c>
      <c r="W28" s="5">
        <v>4.5510066248739545E-3</v>
      </c>
      <c r="Y28" s="94">
        <v>130228</v>
      </c>
      <c r="Z28" s="94">
        <v>0</v>
      </c>
      <c r="AA28" s="94">
        <f t="shared" si="11"/>
        <v>130228</v>
      </c>
      <c r="AB28" s="94"/>
      <c r="AC28" s="94">
        <f t="shared" si="12"/>
        <v>130228</v>
      </c>
      <c r="AD28" s="94">
        <v>20000</v>
      </c>
      <c r="AE28" s="94">
        <v>0</v>
      </c>
      <c r="AF28" s="94">
        <v>0</v>
      </c>
      <c r="AG28" s="94">
        <f>NPV(W28,AC28:AC53)</f>
        <v>368654.38940215722</v>
      </c>
      <c r="AH28">
        <f t="shared" si="13"/>
        <v>25</v>
      </c>
      <c r="AI28" s="94">
        <f t="shared" si="14"/>
        <v>17772.894908454829</v>
      </c>
      <c r="AJ28" s="94">
        <f t="shared" si="15"/>
        <v>0</v>
      </c>
      <c r="AK28" s="94">
        <f t="shared" si="16"/>
        <v>0</v>
      </c>
      <c r="AL28" s="94">
        <f t="shared" si="25"/>
        <v>386427.28431061195</v>
      </c>
      <c r="AM28" s="94">
        <f t="shared" si="17"/>
        <v>1758.6331309296468</v>
      </c>
      <c r="AN28" s="94">
        <f t="shared" si="18"/>
        <v>-130228</v>
      </c>
      <c r="AO28" s="94">
        <f t="shared" si="19"/>
        <v>0</v>
      </c>
      <c r="AP28" s="94">
        <f t="shared" si="20"/>
        <v>257957.91744154162</v>
      </c>
      <c r="AQ28" s="94">
        <v>0</v>
      </c>
      <c r="AR28" s="94">
        <v>0</v>
      </c>
      <c r="AS28" s="94">
        <v>0</v>
      </c>
      <c r="AT28" s="94">
        <f t="shared" si="26"/>
        <v>264259.67069717636</v>
      </c>
      <c r="AU28" s="94">
        <v>20000</v>
      </c>
      <c r="AV28" s="94"/>
      <c r="AW28" s="94">
        <f t="shared" si="21"/>
        <v>0</v>
      </c>
      <c r="AX28" s="94">
        <f t="shared" si="27"/>
        <v>0</v>
      </c>
      <c r="AY28">
        <f t="shared" si="22"/>
        <v>25</v>
      </c>
      <c r="AZ28" s="94">
        <f t="shared" si="23"/>
        <v>9394.6027191221674</v>
      </c>
      <c r="BA28" s="94">
        <f t="shared" si="24"/>
        <v>254865.0679780542</v>
      </c>
      <c r="BB28" t="s">
        <v>9</v>
      </c>
      <c r="BC28" t="s">
        <v>56</v>
      </c>
      <c r="BD28" s="9">
        <v>45167.517858796295</v>
      </c>
      <c r="BF28" s="4"/>
    </row>
    <row r="29" spans="1:62" x14ac:dyDescent="0.25">
      <c r="A29" s="11"/>
      <c r="B29" s="22"/>
      <c r="C29" s="23"/>
      <c r="D29" s="8"/>
      <c r="E29" s="122">
        <v>12</v>
      </c>
      <c r="F29" s="3">
        <v>44926</v>
      </c>
      <c r="G29" s="3">
        <v>44531</v>
      </c>
      <c r="H29" s="3">
        <v>45657</v>
      </c>
      <c r="I29" s="3" t="s">
        <v>61</v>
      </c>
      <c r="J29" s="3">
        <v>46387</v>
      </c>
      <c r="K29" s="3" t="s">
        <v>61</v>
      </c>
      <c r="L29" s="3">
        <v>45292</v>
      </c>
      <c r="M29" s="3">
        <v>45657</v>
      </c>
      <c r="N29" s="122">
        <v>36</v>
      </c>
      <c r="O29" s="3" t="s">
        <v>61</v>
      </c>
      <c r="P29" s="122">
        <v>10</v>
      </c>
      <c r="Q29" s="3">
        <v>48183</v>
      </c>
      <c r="R29" s="3">
        <v>45657</v>
      </c>
      <c r="S29" s="122">
        <v>36</v>
      </c>
      <c r="T29" s="5">
        <v>4.4999999999999998E-2</v>
      </c>
      <c r="U29" s="5">
        <v>5.6000000000000001E-2</v>
      </c>
      <c r="V29" t="s">
        <v>134</v>
      </c>
      <c r="W29" s="5">
        <v>4.5510066248739545E-3</v>
      </c>
      <c r="Y29" s="94">
        <v>0</v>
      </c>
      <c r="Z29" s="94">
        <v>0</v>
      </c>
      <c r="AA29" s="94">
        <f t="shared" si="11"/>
        <v>0</v>
      </c>
      <c r="AB29" s="94"/>
      <c r="AC29" s="94">
        <f t="shared" si="12"/>
        <v>0</v>
      </c>
      <c r="AD29" s="94">
        <v>20000</v>
      </c>
      <c r="AE29" s="94">
        <v>0</v>
      </c>
      <c r="AF29" s="94">
        <v>0</v>
      </c>
      <c r="AG29" s="94">
        <f>NPV(W29,AC29:AC53)</f>
        <v>240104.13797061524</v>
      </c>
      <c r="AH29">
        <f t="shared" si="13"/>
        <v>24</v>
      </c>
      <c r="AI29" s="94">
        <f t="shared" si="14"/>
        <v>17853.779470926394</v>
      </c>
      <c r="AJ29" s="94">
        <f t="shared" si="15"/>
        <v>0</v>
      </c>
      <c r="AK29" s="94">
        <f t="shared" si="16"/>
        <v>0</v>
      </c>
      <c r="AL29" s="94">
        <f t="shared" si="25"/>
        <v>257957.91744154162</v>
      </c>
      <c r="AM29" s="94">
        <f t="shared" si="17"/>
        <v>1173.9681912151445</v>
      </c>
      <c r="AN29" s="94">
        <f t="shared" si="18"/>
        <v>0</v>
      </c>
      <c r="AO29" s="94">
        <f t="shared" si="19"/>
        <v>0</v>
      </c>
      <c r="AP29" s="94">
        <f t="shared" si="20"/>
        <v>259131.88563275678</v>
      </c>
      <c r="AQ29" s="94">
        <v>0</v>
      </c>
      <c r="AR29" s="94">
        <v>0</v>
      </c>
      <c r="AS29" s="94">
        <v>0</v>
      </c>
      <c r="AT29" s="94">
        <f t="shared" si="26"/>
        <v>254865.0679780542</v>
      </c>
      <c r="AU29" s="94">
        <v>20000</v>
      </c>
      <c r="AV29" s="94"/>
      <c r="AW29" s="94">
        <f t="shared" si="21"/>
        <v>0</v>
      </c>
      <c r="AX29" s="94">
        <f t="shared" si="27"/>
        <v>0</v>
      </c>
      <c r="AY29">
        <f t="shared" si="22"/>
        <v>24</v>
      </c>
      <c r="AZ29" s="94">
        <f t="shared" si="23"/>
        <v>9394.6027191221674</v>
      </c>
      <c r="BA29" s="94">
        <f t="shared" si="24"/>
        <v>245470.46525893203</v>
      </c>
      <c r="BB29" t="s">
        <v>9</v>
      </c>
      <c r="BC29" t="s">
        <v>56</v>
      </c>
      <c r="BD29" s="9">
        <v>45167.517858796295</v>
      </c>
      <c r="BF29" s="4"/>
    </row>
    <row r="30" spans="1:62" x14ac:dyDescent="0.25">
      <c r="A30" s="11"/>
      <c r="B30" s="22" t="s">
        <v>2</v>
      </c>
      <c r="C30" s="25" t="s">
        <v>61</v>
      </c>
      <c r="D30" s="8"/>
      <c r="E30" s="122">
        <v>13</v>
      </c>
      <c r="F30" s="3">
        <v>44957</v>
      </c>
      <c r="G30" s="3">
        <v>44531</v>
      </c>
      <c r="H30" s="3">
        <v>45657</v>
      </c>
      <c r="I30" s="3" t="s">
        <v>61</v>
      </c>
      <c r="J30" s="3">
        <v>46387</v>
      </c>
      <c r="K30" s="3" t="s">
        <v>61</v>
      </c>
      <c r="L30" s="3">
        <v>45292</v>
      </c>
      <c r="M30" s="3">
        <v>45657</v>
      </c>
      <c r="N30" s="122">
        <v>36</v>
      </c>
      <c r="O30" s="3" t="s">
        <v>61</v>
      </c>
      <c r="P30" s="122">
        <v>10</v>
      </c>
      <c r="Q30" s="3">
        <v>48183</v>
      </c>
      <c r="R30" s="3">
        <v>45657</v>
      </c>
      <c r="S30" s="122">
        <v>36</v>
      </c>
      <c r="T30" s="5">
        <v>4.4999999999999998E-2</v>
      </c>
      <c r="U30" s="5">
        <v>5.6000000000000001E-2</v>
      </c>
      <c r="V30" t="s">
        <v>134</v>
      </c>
      <c r="W30" s="5">
        <v>4.5510066248739545E-3</v>
      </c>
      <c r="Y30" s="94">
        <v>0</v>
      </c>
      <c r="Z30" s="94">
        <v>0</v>
      </c>
      <c r="AA30" s="94">
        <f t="shared" si="11"/>
        <v>0</v>
      </c>
      <c r="AB30" s="94"/>
      <c r="AC30" s="94">
        <f t="shared" si="12"/>
        <v>0</v>
      </c>
      <c r="AD30" s="94">
        <v>20000</v>
      </c>
      <c r="AE30" s="94">
        <v>0</v>
      </c>
      <c r="AF30" s="94">
        <v>0</v>
      </c>
      <c r="AG30" s="94">
        <f>NPV(W30,AC30:AC53)</f>
        <v>241196.85349317917</v>
      </c>
      <c r="AH30">
        <f t="shared" si="13"/>
        <v>23</v>
      </c>
      <c r="AI30" s="94">
        <f t="shared" si="14"/>
        <v>17935.032139577619</v>
      </c>
      <c r="AJ30" s="94">
        <f t="shared" si="15"/>
        <v>0</v>
      </c>
      <c r="AK30" s="94">
        <f t="shared" si="16"/>
        <v>0</v>
      </c>
      <c r="AL30" s="94">
        <f t="shared" si="25"/>
        <v>259131.88563275678</v>
      </c>
      <c r="AM30" s="94">
        <f t="shared" si="17"/>
        <v>1179.310928230756</v>
      </c>
      <c r="AN30" s="94">
        <f t="shared" si="18"/>
        <v>0</v>
      </c>
      <c r="AO30" s="94">
        <f t="shared" si="19"/>
        <v>0</v>
      </c>
      <c r="AP30" s="94">
        <f t="shared" si="20"/>
        <v>260311.19656098753</v>
      </c>
      <c r="AQ30" s="94">
        <v>0</v>
      </c>
      <c r="AR30" s="94">
        <v>0</v>
      </c>
      <c r="AS30" s="94">
        <v>0</v>
      </c>
      <c r="AT30" s="94">
        <f t="shared" si="26"/>
        <v>245470.46525893203</v>
      </c>
      <c r="AU30" s="94">
        <v>20000</v>
      </c>
      <c r="AV30" s="94"/>
      <c r="AW30" s="94">
        <f t="shared" si="21"/>
        <v>0</v>
      </c>
      <c r="AX30" s="94">
        <f t="shared" si="27"/>
        <v>0</v>
      </c>
      <c r="AY30">
        <f t="shared" si="22"/>
        <v>23</v>
      </c>
      <c r="AZ30" s="94">
        <f t="shared" si="23"/>
        <v>9394.6027191221674</v>
      </c>
      <c r="BA30" s="94">
        <f t="shared" si="24"/>
        <v>236075.86253980987</v>
      </c>
      <c r="BB30" t="s">
        <v>9</v>
      </c>
      <c r="BC30" t="s">
        <v>56</v>
      </c>
      <c r="BD30" s="9">
        <v>45167.517858796295</v>
      </c>
      <c r="BF30" s="4"/>
    </row>
    <row r="31" spans="1:62" x14ac:dyDescent="0.25">
      <c r="A31" s="11"/>
      <c r="B31" s="22" t="s">
        <v>3</v>
      </c>
      <c r="C31" s="26">
        <v>45292</v>
      </c>
      <c r="D31" s="8"/>
      <c r="E31" s="122">
        <v>14</v>
      </c>
      <c r="F31" s="3">
        <v>44985</v>
      </c>
      <c r="G31" s="3">
        <v>44531</v>
      </c>
      <c r="H31" s="3">
        <v>45657</v>
      </c>
      <c r="I31" s="3" t="s">
        <v>61</v>
      </c>
      <c r="J31" s="3">
        <v>46387</v>
      </c>
      <c r="K31" s="3" t="s">
        <v>61</v>
      </c>
      <c r="L31" s="3">
        <v>45292</v>
      </c>
      <c r="M31" s="3">
        <v>45657</v>
      </c>
      <c r="N31" s="122">
        <v>36</v>
      </c>
      <c r="O31" s="3" t="s">
        <v>61</v>
      </c>
      <c r="P31" s="122">
        <v>10</v>
      </c>
      <c r="Q31" s="3">
        <v>48183</v>
      </c>
      <c r="R31" s="3">
        <v>45657</v>
      </c>
      <c r="S31" s="122">
        <v>36</v>
      </c>
      <c r="T31" s="5">
        <v>4.4999999999999998E-2</v>
      </c>
      <c r="U31" s="5">
        <v>5.6000000000000001E-2</v>
      </c>
      <c r="V31" t="s">
        <v>134</v>
      </c>
      <c r="W31" s="5">
        <v>4.5510066248739545E-3</v>
      </c>
      <c r="Y31" s="94">
        <v>0</v>
      </c>
      <c r="Z31" s="94">
        <v>0</v>
      </c>
      <c r="AA31" s="94">
        <f t="shared" si="11"/>
        <v>0</v>
      </c>
      <c r="AB31" s="94"/>
      <c r="AC31" s="94">
        <f t="shared" si="12"/>
        <v>0</v>
      </c>
      <c r="AD31" s="94">
        <v>20000</v>
      </c>
      <c r="AE31" s="94">
        <v>0</v>
      </c>
      <c r="AF31" s="94">
        <v>0</v>
      </c>
      <c r="AG31" s="94">
        <f>NPV(W31,AC31:AC53)</f>
        <v>242294.54197132541</v>
      </c>
      <c r="AH31">
        <f t="shared" si="13"/>
        <v>22</v>
      </c>
      <c r="AI31" s="94">
        <f t="shared" si="14"/>
        <v>18016.654589662161</v>
      </c>
      <c r="AJ31" s="94">
        <f t="shared" si="15"/>
        <v>0</v>
      </c>
      <c r="AK31" s="94">
        <f t="shared" si="16"/>
        <v>0</v>
      </c>
      <c r="AL31" s="94">
        <f t="shared" si="25"/>
        <v>260311.19656098753</v>
      </c>
      <c r="AM31" s="94">
        <f t="shared" si="17"/>
        <v>1184.6779800779204</v>
      </c>
      <c r="AN31" s="94">
        <f t="shared" si="18"/>
        <v>0</v>
      </c>
      <c r="AO31" s="94">
        <f t="shared" si="19"/>
        <v>0</v>
      </c>
      <c r="AP31" s="94">
        <f t="shared" si="20"/>
        <v>261495.87454106545</v>
      </c>
      <c r="AQ31" s="94">
        <v>0</v>
      </c>
      <c r="AR31" s="94">
        <v>0</v>
      </c>
      <c r="AS31" s="94">
        <v>0</v>
      </c>
      <c r="AT31" s="94">
        <f t="shared" si="26"/>
        <v>236075.86253980987</v>
      </c>
      <c r="AU31" s="94">
        <v>20000</v>
      </c>
      <c r="AV31" s="94"/>
      <c r="AW31" s="94">
        <f t="shared" si="21"/>
        <v>0</v>
      </c>
      <c r="AX31" s="94">
        <f t="shared" si="27"/>
        <v>0</v>
      </c>
      <c r="AY31">
        <f t="shared" si="22"/>
        <v>22</v>
      </c>
      <c r="AZ31" s="94">
        <f t="shared" si="23"/>
        <v>9394.6027191221674</v>
      </c>
      <c r="BA31" s="94">
        <f t="shared" si="24"/>
        <v>226681.2598206877</v>
      </c>
      <c r="BB31" t="s">
        <v>9</v>
      </c>
      <c r="BC31" t="s">
        <v>56</v>
      </c>
      <c r="BD31" s="9">
        <v>45167.517858796295</v>
      </c>
      <c r="BF31" s="4"/>
    </row>
    <row r="32" spans="1:62" x14ac:dyDescent="0.25">
      <c r="A32" s="11"/>
      <c r="B32" s="22"/>
      <c r="C32" s="23"/>
      <c r="D32" s="8"/>
      <c r="E32" s="122">
        <v>15</v>
      </c>
      <c r="F32" s="3">
        <v>45016</v>
      </c>
      <c r="G32" s="3">
        <v>44531</v>
      </c>
      <c r="H32" s="3">
        <v>45657</v>
      </c>
      <c r="I32" s="3" t="s">
        <v>61</v>
      </c>
      <c r="J32" s="3">
        <v>46387</v>
      </c>
      <c r="K32" s="3" t="s">
        <v>61</v>
      </c>
      <c r="L32" s="3">
        <v>45292</v>
      </c>
      <c r="M32" s="3">
        <v>45657</v>
      </c>
      <c r="N32" s="122">
        <v>36</v>
      </c>
      <c r="O32" s="3" t="s">
        <v>61</v>
      </c>
      <c r="P32" s="122">
        <v>10</v>
      </c>
      <c r="Q32" s="3">
        <v>48183</v>
      </c>
      <c r="R32" s="3">
        <v>45657</v>
      </c>
      <c r="S32" s="122">
        <v>36</v>
      </c>
      <c r="T32" s="5">
        <v>4.4999999999999998E-2</v>
      </c>
      <c r="U32" s="5">
        <v>5.6000000000000001E-2</v>
      </c>
      <c r="V32" t="s">
        <v>134</v>
      </c>
      <c r="W32" s="5">
        <v>4.5510066248739545E-3</v>
      </c>
      <c r="Y32" s="94">
        <v>0</v>
      </c>
      <c r="Z32" s="94">
        <v>0</v>
      </c>
      <c r="AA32" s="94">
        <f t="shared" si="11"/>
        <v>0</v>
      </c>
      <c r="AB32" s="94"/>
      <c r="AC32" s="94">
        <f t="shared" si="12"/>
        <v>0</v>
      </c>
      <c r="AD32" s="94">
        <v>20000</v>
      </c>
      <c r="AE32" s="94">
        <v>0</v>
      </c>
      <c r="AF32" s="94">
        <v>0</v>
      </c>
      <c r="AG32" s="94">
        <f>NPV(W32,AC32:AC53)</f>
        <v>243397.22603700773</v>
      </c>
      <c r="AH32">
        <f t="shared" si="13"/>
        <v>21</v>
      </c>
      <c r="AI32" s="94">
        <f t="shared" si="14"/>
        <v>18098.648504057783</v>
      </c>
      <c r="AJ32" s="94">
        <f t="shared" si="15"/>
        <v>0</v>
      </c>
      <c r="AK32" s="94">
        <f t="shared" si="16"/>
        <v>0</v>
      </c>
      <c r="AL32" s="94">
        <f t="shared" si="25"/>
        <v>261495.87454106545</v>
      </c>
      <c r="AM32" s="94">
        <f t="shared" si="17"/>
        <v>1190.0694574135975</v>
      </c>
      <c r="AN32" s="94">
        <f t="shared" si="18"/>
        <v>0</v>
      </c>
      <c r="AO32" s="94">
        <f t="shared" si="19"/>
        <v>0</v>
      </c>
      <c r="AP32" s="94">
        <f t="shared" si="20"/>
        <v>262685.94399847905</v>
      </c>
      <c r="AQ32" s="94">
        <v>0</v>
      </c>
      <c r="AR32" s="94">
        <v>0</v>
      </c>
      <c r="AS32" s="94">
        <v>0</v>
      </c>
      <c r="AT32" s="94">
        <f t="shared" si="26"/>
        <v>226681.2598206877</v>
      </c>
      <c r="AU32" s="94">
        <v>20000</v>
      </c>
      <c r="AV32" s="94"/>
      <c r="AW32" s="94">
        <f t="shared" si="21"/>
        <v>0</v>
      </c>
      <c r="AX32" s="94">
        <f t="shared" si="27"/>
        <v>0</v>
      </c>
      <c r="AY32">
        <f t="shared" si="22"/>
        <v>21</v>
      </c>
      <c r="AZ32" s="94">
        <f t="shared" si="23"/>
        <v>9394.6027191221674</v>
      </c>
      <c r="BA32" s="94">
        <f t="shared" si="24"/>
        <v>217286.65710156554</v>
      </c>
      <c r="BB32" t="s">
        <v>9</v>
      </c>
      <c r="BC32" t="s">
        <v>56</v>
      </c>
      <c r="BD32" s="9">
        <v>45167.517858796295</v>
      </c>
      <c r="BF32" s="4"/>
    </row>
    <row r="33" spans="1:56" x14ac:dyDescent="0.25">
      <c r="A33" s="11"/>
      <c r="B33" s="22" t="s">
        <v>6</v>
      </c>
      <c r="C33" s="29">
        <f>+IF(C30="Yes",MIN(EOMONTH(C25,0),EOMONTH(C31,0)),IF(C27="Yes",EOMONTH(C28,0),C25))</f>
        <v>45657</v>
      </c>
      <c r="D33" s="8"/>
      <c r="E33" s="122">
        <v>16</v>
      </c>
      <c r="F33" s="3">
        <v>45046</v>
      </c>
      <c r="G33" s="3">
        <v>44531</v>
      </c>
      <c r="H33" s="3">
        <v>45657</v>
      </c>
      <c r="I33" s="3" t="s">
        <v>61</v>
      </c>
      <c r="J33" s="3">
        <v>46387</v>
      </c>
      <c r="K33" s="3" t="s">
        <v>61</v>
      </c>
      <c r="L33" s="3">
        <v>45292</v>
      </c>
      <c r="M33" s="3">
        <v>45657</v>
      </c>
      <c r="N33" s="122">
        <v>36</v>
      </c>
      <c r="O33" s="3" t="s">
        <v>61</v>
      </c>
      <c r="P33" s="122">
        <v>10</v>
      </c>
      <c r="Q33" s="3">
        <v>48183</v>
      </c>
      <c r="R33" s="3">
        <v>45657</v>
      </c>
      <c r="S33" s="122">
        <v>36</v>
      </c>
      <c r="T33" s="5">
        <v>4.4999999999999998E-2</v>
      </c>
      <c r="U33" s="5">
        <v>5.6000000000000001E-2</v>
      </c>
      <c r="V33" t="s">
        <v>134</v>
      </c>
      <c r="W33" s="5">
        <v>4.5510066248739545E-3</v>
      </c>
      <c r="Y33" s="94">
        <v>0</v>
      </c>
      <c r="Z33" s="94">
        <v>0</v>
      </c>
      <c r="AA33" s="94">
        <f t="shared" si="11"/>
        <v>0</v>
      </c>
      <c r="AB33" s="94"/>
      <c r="AC33" s="94">
        <f t="shared" si="12"/>
        <v>0</v>
      </c>
      <c r="AD33" s="94">
        <v>20000</v>
      </c>
      <c r="AE33" s="94">
        <v>0</v>
      </c>
      <c r="AF33" s="94">
        <v>0</v>
      </c>
      <c r="AG33" s="94">
        <f>NPV(W33,AC33:AC53)</f>
        <v>244504.92842517811</v>
      </c>
      <c r="AH33">
        <f t="shared" si="13"/>
        <v>20</v>
      </c>
      <c r="AI33" s="94">
        <f t="shared" si="14"/>
        <v>18181.015573301011</v>
      </c>
      <c r="AJ33" s="94">
        <f t="shared" si="15"/>
        <v>0</v>
      </c>
      <c r="AK33" s="94">
        <f t="shared" si="16"/>
        <v>0</v>
      </c>
      <c r="AL33" s="94">
        <f t="shared" si="25"/>
        <v>262685.94399847905</v>
      </c>
      <c r="AM33" s="94">
        <f t="shared" si="17"/>
        <v>1195.485471398347</v>
      </c>
      <c r="AN33" s="94">
        <f t="shared" si="18"/>
        <v>0</v>
      </c>
      <c r="AO33" s="94">
        <f t="shared" si="19"/>
        <v>0</v>
      </c>
      <c r="AP33" s="94">
        <f t="shared" si="20"/>
        <v>263881.42946987739</v>
      </c>
      <c r="AQ33" s="94">
        <v>0</v>
      </c>
      <c r="AR33" s="94">
        <v>0</v>
      </c>
      <c r="AS33" s="94">
        <v>0</v>
      </c>
      <c r="AT33" s="94">
        <f t="shared" si="26"/>
        <v>217286.65710156554</v>
      </c>
      <c r="AU33" s="94">
        <v>20000</v>
      </c>
      <c r="AV33" s="94"/>
      <c r="AW33" s="94">
        <f t="shared" si="21"/>
        <v>0</v>
      </c>
      <c r="AX33" s="94">
        <f t="shared" si="27"/>
        <v>0</v>
      </c>
      <c r="AY33">
        <f t="shared" si="22"/>
        <v>20</v>
      </c>
      <c r="AZ33" s="94">
        <f t="shared" si="23"/>
        <v>9394.6027191221692</v>
      </c>
      <c r="BA33" s="94">
        <f t="shared" si="24"/>
        <v>207892.05438244337</v>
      </c>
      <c r="BB33" t="s">
        <v>9</v>
      </c>
      <c r="BC33" t="s">
        <v>56</v>
      </c>
      <c r="BD33" s="9">
        <v>45167.517858796295</v>
      </c>
    </row>
    <row r="34" spans="1:56" x14ac:dyDescent="0.25">
      <c r="A34" s="11"/>
      <c r="B34" s="30" t="s">
        <v>15</v>
      </c>
      <c r="C34" s="31">
        <f>(YEAR(C33)-YEAR(C24))*12+MONTH(C33)-MONTH(C24)</f>
        <v>36</v>
      </c>
      <c r="D34" s="8"/>
      <c r="E34" s="122">
        <v>17</v>
      </c>
      <c r="F34" s="3">
        <v>45077</v>
      </c>
      <c r="G34" s="3">
        <v>44531</v>
      </c>
      <c r="H34" s="3">
        <v>45657</v>
      </c>
      <c r="I34" s="3" t="s">
        <v>61</v>
      </c>
      <c r="J34" s="3">
        <v>46387</v>
      </c>
      <c r="K34" s="3" t="s">
        <v>61</v>
      </c>
      <c r="L34" s="3">
        <v>45292</v>
      </c>
      <c r="M34" s="3">
        <v>45657</v>
      </c>
      <c r="N34" s="122">
        <v>36</v>
      </c>
      <c r="O34" s="3" t="s">
        <v>61</v>
      </c>
      <c r="P34" s="122">
        <v>10</v>
      </c>
      <c r="Q34" s="3">
        <v>48183</v>
      </c>
      <c r="R34" s="3">
        <v>45657</v>
      </c>
      <c r="S34" s="122">
        <v>36</v>
      </c>
      <c r="T34" s="5">
        <v>4.4999999999999998E-2</v>
      </c>
      <c r="U34" s="5">
        <v>5.6000000000000001E-2</v>
      </c>
      <c r="V34" t="s">
        <v>134</v>
      </c>
      <c r="W34" s="5">
        <v>4.5510066248739545E-3</v>
      </c>
      <c r="Y34" s="94">
        <v>0</v>
      </c>
      <c r="Z34" s="94">
        <v>0</v>
      </c>
      <c r="AA34" s="94">
        <f t="shared" si="11"/>
        <v>0</v>
      </c>
      <c r="AB34" s="94"/>
      <c r="AC34" s="94">
        <f t="shared" si="12"/>
        <v>0</v>
      </c>
      <c r="AD34" s="94">
        <v>20000</v>
      </c>
      <c r="AE34" s="94">
        <v>0</v>
      </c>
      <c r="AF34" s="94">
        <v>0</v>
      </c>
      <c r="AG34" s="94">
        <f>NPV(W34,AC34:AC53)</f>
        <v>245617.67197425544</v>
      </c>
      <c r="AH34">
        <f t="shared" si="13"/>
        <v>19</v>
      </c>
      <c r="AI34" s="94">
        <f t="shared" si="14"/>
        <v>18263.757495622041</v>
      </c>
      <c r="AJ34" s="94">
        <f t="shared" si="15"/>
        <v>0</v>
      </c>
      <c r="AK34" s="94">
        <f t="shared" si="16"/>
        <v>0</v>
      </c>
      <c r="AL34" s="94">
        <f t="shared" si="25"/>
        <v>263881.42946987739</v>
      </c>
      <c r="AM34" s="94">
        <f t="shared" si="17"/>
        <v>1200.9261336986217</v>
      </c>
      <c r="AN34" s="94">
        <f t="shared" si="18"/>
        <v>0</v>
      </c>
      <c r="AO34" s="94">
        <f t="shared" si="19"/>
        <v>0</v>
      </c>
      <c r="AP34" s="94">
        <f t="shared" si="20"/>
        <v>265082.355603576</v>
      </c>
      <c r="AQ34" s="94">
        <v>0</v>
      </c>
      <c r="AR34" s="94">
        <v>0</v>
      </c>
      <c r="AS34" s="94">
        <v>0</v>
      </c>
      <c r="AT34" s="94">
        <f t="shared" si="26"/>
        <v>207892.05438244337</v>
      </c>
      <c r="AU34" s="94">
        <v>20000</v>
      </c>
      <c r="AV34" s="94"/>
      <c r="AW34" s="94">
        <f t="shared" si="21"/>
        <v>0</v>
      </c>
      <c r="AX34" s="94">
        <f t="shared" si="27"/>
        <v>0</v>
      </c>
      <c r="AY34">
        <f t="shared" si="22"/>
        <v>19</v>
      </c>
      <c r="AZ34" s="94">
        <f t="shared" si="23"/>
        <v>9394.6027191221692</v>
      </c>
      <c r="BA34" s="94">
        <f t="shared" si="24"/>
        <v>198497.4516633212</v>
      </c>
      <c r="BB34" t="s">
        <v>9</v>
      </c>
      <c r="BC34" t="s">
        <v>56</v>
      </c>
      <c r="BD34" s="9">
        <v>45167.517858796295</v>
      </c>
    </row>
    <row r="35" spans="1:56" x14ac:dyDescent="0.25">
      <c r="A35" s="11"/>
      <c r="B35" s="22"/>
      <c r="C35" s="23"/>
      <c r="D35" s="8"/>
      <c r="E35" s="122">
        <v>18</v>
      </c>
      <c r="F35" s="3">
        <v>45107</v>
      </c>
      <c r="G35" s="3">
        <v>44531</v>
      </c>
      <c r="H35" s="3">
        <v>45657</v>
      </c>
      <c r="I35" s="3" t="s">
        <v>61</v>
      </c>
      <c r="J35" s="3">
        <v>46387</v>
      </c>
      <c r="K35" s="3" t="s">
        <v>61</v>
      </c>
      <c r="L35" s="3">
        <v>45292</v>
      </c>
      <c r="M35" s="3">
        <v>45657</v>
      </c>
      <c r="N35" s="122">
        <v>36</v>
      </c>
      <c r="O35" s="3" t="s">
        <v>61</v>
      </c>
      <c r="P35" s="122">
        <v>10</v>
      </c>
      <c r="Q35" s="3">
        <v>48183</v>
      </c>
      <c r="R35" s="3">
        <v>45657</v>
      </c>
      <c r="S35" s="122">
        <v>36</v>
      </c>
      <c r="T35" s="5">
        <v>4.4999999999999998E-2</v>
      </c>
      <c r="U35" s="5">
        <v>5.6000000000000001E-2</v>
      </c>
      <c r="V35" t="s">
        <v>134</v>
      </c>
      <c r="W35" s="5">
        <v>4.5510066248739545E-3</v>
      </c>
      <c r="Y35" s="94">
        <v>0</v>
      </c>
      <c r="Z35" s="94">
        <v>0</v>
      </c>
      <c r="AA35" s="94">
        <f t="shared" si="11"/>
        <v>0</v>
      </c>
      <c r="AB35" s="94"/>
      <c r="AC35" s="94">
        <f t="shared" si="12"/>
        <v>0</v>
      </c>
      <c r="AD35" s="94">
        <v>20000</v>
      </c>
      <c r="AE35" s="94">
        <v>0</v>
      </c>
      <c r="AF35" s="94">
        <v>0</v>
      </c>
      <c r="AG35" s="94">
        <f>NPV(W35,AC35:AC53)</f>
        <v>246735.47962659638</v>
      </c>
      <c r="AH35">
        <f t="shared" si="13"/>
        <v>18</v>
      </c>
      <c r="AI35" s="94">
        <f t="shared" si="14"/>
        <v>18346.875976979703</v>
      </c>
      <c r="AJ35" s="94">
        <f t="shared" si="15"/>
        <v>0</v>
      </c>
      <c r="AK35" s="94">
        <f t="shared" si="16"/>
        <v>0</v>
      </c>
      <c r="AL35" s="94">
        <f t="shared" si="25"/>
        <v>265082.355603576</v>
      </c>
      <c r="AM35" s="94">
        <f t="shared" si="17"/>
        <v>1206.3915564890681</v>
      </c>
      <c r="AN35" s="94">
        <f t="shared" si="18"/>
        <v>0</v>
      </c>
      <c r="AO35" s="94">
        <f t="shared" si="19"/>
        <v>0</v>
      </c>
      <c r="AP35" s="94">
        <f t="shared" si="20"/>
        <v>266288.74716006505</v>
      </c>
      <c r="AQ35" s="94">
        <v>0</v>
      </c>
      <c r="AR35" s="94">
        <v>0</v>
      </c>
      <c r="AS35" s="94">
        <v>0</v>
      </c>
      <c r="AT35" s="94">
        <f t="shared" si="26"/>
        <v>198497.4516633212</v>
      </c>
      <c r="AU35" s="94">
        <v>20000</v>
      </c>
      <c r="AV35" s="94"/>
      <c r="AW35" s="94">
        <f t="shared" si="21"/>
        <v>0</v>
      </c>
      <c r="AX35" s="94">
        <f t="shared" si="27"/>
        <v>0</v>
      </c>
      <c r="AY35">
        <f t="shared" si="22"/>
        <v>18</v>
      </c>
      <c r="AZ35" s="94">
        <f t="shared" si="23"/>
        <v>9394.6027191221692</v>
      </c>
      <c r="BA35" s="94">
        <f t="shared" si="24"/>
        <v>189102.84894419904</v>
      </c>
      <c r="BB35" t="s">
        <v>9</v>
      </c>
      <c r="BC35" t="s">
        <v>56</v>
      </c>
      <c r="BD35" s="9">
        <v>45167.517858796295</v>
      </c>
    </row>
    <row r="36" spans="1:56" x14ac:dyDescent="0.25">
      <c r="A36" s="11"/>
      <c r="B36" s="27" t="s">
        <v>60</v>
      </c>
      <c r="C36" s="28"/>
      <c r="D36" s="8"/>
      <c r="E36" s="122">
        <v>19</v>
      </c>
      <c r="F36" s="3">
        <v>45138</v>
      </c>
      <c r="G36" s="3">
        <v>44531</v>
      </c>
      <c r="H36" s="3">
        <v>45657</v>
      </c>
      <c r="I36" s="3" t="s">
        <v>61</v>
      </c>
      <c r="J36" s="3">
        <v>46387</v>
      </c>
      <c r="K36" s="3" t="s">
        <v>61</v>
      </c>
      <c r="L36" s="3">
        <v>45292</v>
      </c>
      <c r="M36" s="3">
        <v>45657</v>
      </c>
      <c r="N36" s="122">
        <v>36</v>
      </c>
      <c r="O36" s="3" t="s">
        <v>61</v>
      </c>
      <c r="P36" s="122">
        <v>10</v>
      </c>
      <c r="Q36" s="3">
        <v>48183</v>
      </c>
      <c r="R36" s="3">
        <v>45657</v>
      </c>
      <c r="S36" s="122">
        <v>36</v>
      </c>
      <c r="T36" s="5">
        <v>4.4999999999999998E-2</v>
      </c>
      <c r="U36" s="5">
        <v>5.6000000000000001E-2</v>
      </c>
      <c r="V36" t="s">
        <v>134</v>
      </c>
      <c r="W36" s="5">
        <v>4.5510066248739545E-3</v>
      </c>
      <c r="Y36" s="94">
        <v>0</v>
      </c>
      <c r="Z36" s="94">
        <v>0</v>
      </c>
      <c r="AA36" s="94">
        <f t="shared" si="11"/>
        <v>0</v>
      </c>
      <c r="AB36" s="94"/>
      <c r="AC36" s="94">
        <f t="shared" si="12"/>
        <v>0</v>
      </c>
      <c r="AD36" s="94">
        <v>20000</v>
      </c>
      <c r="AE36" s="94">
        <v>0</v>
      </c>
      <c r="AF36" s="94">
        <v>0</v>
      </c>
      <c r="AG36" s="94">
        <f>NPV(W36,AC36:AC53)</f>
        <v>247858.37442896841</v>
      </c>
      <c r="AH36">
        <f t="shared" si="13"/>
        <v>17</v>
      </c>
      <c r="AI36" s="94">
        <f t="shared" si="14"/>
        <v>18430.372731096682</v>
      </c>
      <c r="AJ36" s="94">
        <f t="shared" si="15"/>
        <v>0</v>
      </c>
      <c r="AK36" s="94">
        <f t="shared" si="16"/>
        <v>0</v>
      </c>
      <c r="AL36" s="94">
        <f t="shared" si="25"/>
        <v>266288.74716006505</v>
      </c>
      <c r="AM36" s="94">
        <f t="shared" si="17"/>
        <v>1211.8818524548417</v>
      </c>
      <c r="AN36" s="94">
        <f t="shared" si="18"/>
        <v>0</v>
      </c>
      <c r="AO36" s="94">
        <f t="shared" si="19"/>
        <v>0</v>
      </c>
      <c r="AP36" s="94">
        <f t="shared" si="20"/>
        <v>267500.6290125199</v>
      </c>
      <c r="AQ36" s="94">
        <v>0</v>
      </c>
      <c r="AR36" s="94">
        <v>0</v>
      </c>
      <c r="AS36" s="94">
        <v>0</v>
      </c>
      <c r="AT36" s="94">
        <f t="shared" si="26"/>
        <v>189102.84894419904</v>
      </c>
      <c r="AU36" s="94">
        <v>20000</v>
      </c>
      <c r="AV36" s="94"/>
      <c r="AW36" s="94">
        <f t="shared" si="21"/>
        <v>0</v>
      </c>
      <c r="AX36" s="94">
        <f t="shared" si="27"/>
        <v>0</v>
      </c>
      <c r="AY36">
        <f t="shared" si="22"/>
        <v>17</v>
      </c>
      <c r="AZ36" s="94">
        <f t="shared" si="23"/>
        <v>9394.6027191221692</v>
      </c>
      <c r="BA36" s="94">
        <f t="shared" si="24"/>
        <v>179708.24622507687</v>
      </c>
      <c r="BB36" t="s">
        <v>9</v>
      </c>
      <c r="BC36" t="s">
        <v>56</v>
      </c>
      <c r="BD36" s="9">
        <v>45167.517858796295</v>
      </c>
    </row>
    <row r="37" spans="1:56" x14ac:dyDescent="0.25">
      <c r="A37" s="11"/>
      <c r="B37" s="22"/>
      <c r="C37" s="23"/>
      <c r="D37" s="8"/>
      <c r="E37" s="122">
        <v>20</v>
      </c>
      <c r="F37" s="3">
        <v>45169</v>
      </c>
      <c r="G37" s="3">
        <v>44531</v>
      </c>
      <c r="H37" s="3">
        <v>45657</v>
      </c>
      <c r="I37" s="3" t="s">
        <v>61</v>
      </c>
      <c r="J37" s="3">
        <v>46387</v>
      </c>
      <c r="K37" s="3" t="s">
        <v>61</v>
      </c>
      <c r="L37" s="3">
        <v>45292</v>
      </c>
      <c r="M37" s="3">
        <v>45657</v>
      </c>
      <c r="N37" s="122">
        <v>36</v>
      </c>
      <c r="O37" s="3" t="s">
        <v>61</v>
      </c>
      <c r="P37" s="122">
        <v>10</v>
      </c>
      <c r="Q37" s="3">
        <v>48183</v>
      </c>
      <c r="R37" s="3">
        <v>45657</v>
      </c>
      <c r="S37" s="122">
        <v>36</v>
      </c>
      <c r="T37" s="5">
        <v>4.4999999999999998E-2</v>
      </c>
      <c r="U37" s="5">
        <v>5.6000000000000001E-2</v>
      </c>
      <c r="V37" t="s">
        <v>134</v>
      </c>
      <c r="W37" s="5">
        <v>4.5510066248739545E-3</v>
      </c>
      <c r="Y37" s="94">
        <v>0</v>
      </c>
      <c r="Z37" s="94">
        <v>0</v>
      </c>
      <c r="AA37" s="94">
        <f t="shared" si="11"/>
        <v>0</v>
      </c>
      <c r="AB37" s="94"/>
      <c r="AC37" s="94">
        <f t="shared" si="12"/>
        <v>0</v>
      </c>
      <c r="AD37" s="94">
        <v>20000</v>
      </c>
      <c r="AE37" s="94">
        <v>0</v>
      </c>
      <c r="AF37" s="94">
        <v>0</v>
      </c>
      <c r="AG37" s="94">
        <f>NPV(W37,AC37:AC53)</f>
        <v>248986.37953302515</v>
      </c>
      <c r="AH37">
        <f t="shared" si="13"/>
        <v>16</v>
      </c>
      <c r="AI37" s="94">
        <f t="shared" si="14"/>
        <v>18514.2494794948</v>
      </c>
      <c r="AJ37" s="94">
        <f t="shared" si="15"/>
        <v>0</v>
      </c>
      <c r="AK37" s="94">
        <f t="shared" si="16"/>
        <v>0</v>
      </c>
      <c r="AL37" s="94">
        <f t="shared" si="25"/>
        <v>267500.6290125199</v>
      </c>
      <c r="AM37" s="94">
        <f t="shared" si="17"/>
        <v>1217.3971347939282</v>
      </c>
      <c r="AN37" s="94">
        <f t="shared" si="18"/>
        <v>0</v>
      </c>
      <c r="AO37" s="94">
        <f t="shared" si="19"/>
        <v>0</v>
      </c>
      <c r="AP37" s="94">
        <f t="shared" si="20"/>
        <v>268718.02614731382</v>
      </c>
      <c r="AQ37" s="94">
        <v>0</v>
      </c>
      <c r="AR37" s="94">
        <v>0</v>
      </c>
      <c r="AS37" s="94">
        <v>0</v>
      </c>
      <c r="AT37" s="94">
        <f t="shared" si="26"/>
        <v>179708.24622507687</v>
      </c>
      <c r="AU37" s="94">
        <v>20000</v>
      </c>
      <c r="AV37" s="94"/>
      <c r="AW37" s="94">
        <f t="shared" si="21"/>
        <v>0</v>
      </c>
      <c r="AX37" s="94">
        <f t="shared" si="27"/>
        <v>0</v>
      </c>
      <c r="AY37">
        <f t="shared" si="22"/>
        <v>16</v>
      </c>
      <c r="AZ37" s="94">
        <f t="shared" si="23"/>
        <v>9394.6027191221692</v>
      </c>
      <c r="BA37" s="94">
        <f t="shared" si="24"/>
        <v>170313.64350595471</v>
      </c>
      <c r="BB37" t="s">
        <v>9</v>
      </c>
      <c r="BC37" t="s">
        <v>56</v>
      </c>
      <c r="BD37" s="9">
        <v>45167.517858796295</v>
      </c>
    </row>
    <row r="38" spans="1:56" x14ac:dyDescent="0.25">
      <c r="A38" s="11"/>
      <c r="B38" s="22" t="s">
        <v>4</v>
      </c>
      <c r="C38" s="25" t="s">
        <v>61</v>
      </c>
      <c r="D38" s="8"/>
      <c r="E38" s="122">
        <v>21</v>
      </c>
      <c r="F38" s="3">
        <v>45199</v>
      </c>
      <c r="G38" s="3">
        <v>44531</v>
      </c>
      <c r="H38" s="3">
        <v>45657</v>
      </c>
      <c r="I38" s="3" t="s">
        <v>61</v>
      </c>
      <c r="J38" s="3">
        <v>46387</v>
      </c>
      <c r="K38" s="3" t="s">
        <v>61</v>
      </c>
      <c r="L38" s="3">
        <v>45292</v>
      </c>
      <c r="M38" s="3">
        <v>45657</v>
      </c>
      <c r="N38" s="122">
        <v>36</v>
      </c>
      <c r="O38" s="3" t="s">
        <v>61</v>
      </c>
      <c r="P38" s="122">
        <v>10</v>
      </c>
      <c r="Q38" s="3">
        <v>48183</v>
      </c>
      <c r="R38" s="3">
        <v>45657</v>
      </c>
      <c r="S38" s="122">
        <v>36</v>
      </c>
      <c r="T38" s="5">
        <v>4.4999999999999998E-2</v>
      </c>
      <c r="U38" s="5">
        <v>5.6000000000000001E-2</v>
      </c>
      <c r="V38" t="s">
        <v>134</v>
      </c>
      <c r="W38" s="5">
        <v>4.5510066248739545E-3</v>
      </c>
      <c r="Y38" s="94">
        <v>0</v>
      </c>
      <c r="Z38" s="94">
        <v>0</v>
      </c>
      <c r="AA38" s="94">
        <f t="shared" si="11"/>
        <v>0</v>
      </c>
      <c r="AB38" s="94"/>
      <c r="AC38" s="94">
        <f t="shared" si="12"/>
        <v>0</v>
      </c>
      <c r="AD38" s="94">
        <v>20000</v>
      </c>
      <c r="AE38" s="94">
        <v>0</v>
      </c>
      <c r="AF38" s="94">
        <v>0</v>
      </c>
      <c r="AG38" s="94">
        <f>NPV(W38,AC38:AC53)</f>
        <v>250119.51819578331</v>
      </c>
      <c r="AH38">
        <f t="shared" si="13"/>
        <v>15</v>
      </c>
      <c r="AI38" s="94">
        <f t="shared" si="14"/>
        <v>18598.507951530548</v>
      </c>
      <c r="AJ38" s="94">
        <f t="shared" si="15"/>
        <v>0</v>
      </c>
      <c r="AK38" s="94">
        <f t="shared" si="16"/>
        <v>0</v>
      </c>
      <c r="AL38" s="94">
        <f t="shared" si="25"/>
        <v>268718.02614731382</v>
      </c>
      <c r="AM38" s="94">
        <f t="shared" si="17"/>
        <v>1222.937517219478</v>
      </c>
      <c r="AN38" s="94">
        <f t="shared" si="18"/>
        <v>0</v>
      </c>
      <c r="AO38" s="94">
        <f t="shared" si="19"/>
        <v>0</v>
      </c>
      <c r="AP38" s="94">
        <f t="shared" si="20"/>
        <v>269940.96366453328</v>
      </c>
      <c r="AQ38" s="94">
        <v>0</v>
      </c>
      <c r="AR38" s="94">
        <v>0</v>
      </c>
      <c r="AS38" s="94">
        <v>0</v>
      </c>
      <c r="AT38" s="94">
        <f t="shared" si="26"/>
        <v>170313.64350595471</v>
      </c>
      <c r="AU38" s="94">
        <v>20000</v>
      </c>
      <c r="AV38" s="94"/>
      <c r="AW38" s="94">
        <f t="shared" si="21"/>
        <v>0</v>
      </c>
      <c r="AX38" s="94">
        <f t="shared" si="27"/>
        <v>0</v>
      </c>
      <c r="AY38">
        <f t="shared" si="22"/>
        <v>15</v>
      </c>
      <c r="AZ38" s="94">
        <f t="shared" si="23"/>
        <v>9394.6027191221692</v>
      </c>
      <c r="BA38" s="94">
        <f t="shared" si="24"/>
        <v>160919.04078683254</v>
      </c>
      <c r="BB38" t="s">
        <v>9</v>
      </c>
      <c r="BC38" t="s">
        <v>56</v>
      </c>
      <c r="BD38" s="9">
        <v>45167.517858796295</v>
      </c>
    </row>
    <row r="39" spans="1:56" x14ac:dyDescent="0.25">
      <c r="A39" s="11"/>
      <c r="B39" s="22" t="s">
        <v>8</v>
      </c>
      <c r="C39" s="24">
        <v>10</v>
      </c>
      <c r="D39" s="8"/>
      <c r="E39" s="122">
        <v>22</v>
      </c>
      <c r="F39" s="3">
        <v>45230</v>
      </c>
      <c r="G39" s="3">
        <v>44531</v>
      </c>
      <c r="H39" s="3">
        <v>45657</v>
      </c>
      <c r="I39" s="3" t="s">
        <v>61</v>
      </c>
      <c r="J39" s="3">
        <v>46387</v>
      </c>
      <c r="K39" s="3" t="s">
        <v>61</v>
      </c>
      <c r="L39" s="3">
        <v>45292</v>
      </c>
      <c r="M39" s="3">
        <v>45657</v>
      </c>
      <c r="N39" s="122">
        <v>36</v>
      </c>
      <c r="O39" s="3" t="s">
        <v>61</v>
      </c>
      <c r="P39" s="122">
        <v>10</v>
      </c>
      <c r="Q39" s="3">
        <v>48183</v>
      </c>
      <c r="R39" s="3">
        <v>45657</v>
      </c>
      <c r="S39" s="122">
        <v>36</v>
      </c>
      <c r="T39" s="5">
        <v>4.4999999999999998E-2</v>
      </c>
      <c r="U39" s="5">
        <v>5.6000000000000001E-2</v>
      </c>
      <c r="V39" t="s">
        <v>134</v>
      </c>
      <c r="W39" s="5">
        <v>4.5510066248739545E-3</v>
      </c>
      <c r="Y39" s="94">
        <v>0</v>
      </c>
      <c r="Z39" s="94">
        <v>0</v>
      </c>
      <c r="AA39" s="94">
        <f t="shared" si="11"/>
        <v>0</v>
      </c>
      <c r="AB39" s="94"/>
      <c r="AC39" s="94">
        <f t="shared" si="12"/>
        <v>0</v>
      </c>
      <c r="AD39" s="94">
        <v>20000</v>
      </c>
      <c r="AE39" s="94">
        <v>0</v>
      </c>
      <c r="AF39" s="94">
        <v>0</v>
      </c>
      <c r="AG39" s="94">
        <f>NPV(W39,AC39:AC53)</f>
        <v>251257.81378010262</v>
      </c>
      <c r="AH39">
        <f t="shared" si="13"/>
        <v>14</v>
      </c>
      <c r="AI39" s="94">
        <f t="shared" si="14"/>
        <v>18683.149884430732</v>
      </c>
      <c r="AJ39" s="94">
        <f t="shared" si="15"/>
        <v>0</v>
      </c>
      <c r="AK39" s="94">
        <f t="shared" si="16"/>
        <v>0</v>
      </c>
      <c r="AL39" s="94">
        <f t="shared" si="25"/>
        <v>269940.96366453328</v>
      </c>
      <c r="AM39" s="94">
        <f t="shared" si="17"/>
        <v>1228.5031139621506</v>
      </c>
      <c r="AN39" s="94">
        <f t="shared" si="18"/>
        <v>0</v>
      </c>
      <c r="AO39" s="94">
        <f t="shared" si="19"/>
        <v>0</v>
      </c>
      <c r="AP39" s="94">
        <f t="shared" si="20"/>
        <v>271169.46677849541</v>
      </c>
      <c r="AQ39" s="94">
        <v>0</v>
      </c>
      <c r="AR39" s="94">
        <v>0</v>
      </c>
      <c r="AS39" s="94">
        <v>0</v>
      </c>
      <c r="AT39" s="94">
        <f t="shared" si="26"/>
        <v>160919.04078683254</v>
      </c>
      <c r="AU39" s="94">
        <v>20000</v>
      </c>
      <c r="AV39" s="94"/>
      <c r="AW39" s="94">
        <f t="shared" si="21"/>
        <v>0</v>
      </c>
      <c r="AX39" s="94">
        <f t="shared" si="27"/>
        <v>0</v>
      </c>
      <c r="AY39">
        <f t="shared" si="22"/>
        <v>14</v>
      </c>
      <c r="AZ39" s="94">
        <f t="shared" si="23"/>
        <v>9394.6027191221692</v>
      </c>
      <c r="BA39" s="94">
        <f t="shared" si="24"/>
        <v>151524.43806771038</v>
      </c>
      <c r="BB39" t="s">
        <v>9</v>
      </c>
      <c r="BC39" t="s">
        <v>56</v>
      </c>
      <c r="BD39" s="9">
        <v>45167.517858796295</v>
      </c>
    </row>
    <row r="40" spans="1:56" x14ac:dyDescent="0.25">
      <c r="A40" s="11"/>
      <c r="B40" s="22" t="s">
        <v>10</v>
      </c>
      <c r="C40" s="85">
        <f>+EDATE(C24,C39*12)</f>
        <v>48183</v>
      </c>
      <c r="D40" s="8"/>
      <c r="E40" s="122">
        <v>23</v>
      </c>
      <c r="F40" s="3">
        <v>45260</v>
      </c>
      <c r="G40" s="3">
        <v>44531</v>
      </c>
      <c r="H40" s="3">
        <v>45657</v>
      </c>
      <c r="I40" s="3" t="s">
        <v>61</v>
      </c>
      <c r="J40" s="3">
        <v>46387</v>
      </c>
      <c r="K40" s="3" t="s">
        <v>61</v>
      </c>
      <c r="L40" s="3">
        <v>45292</v>
      </c>
      <c r="M40" s="3">
        <v>45657</v>
      </c>
      <c r="N40" s="122">
        <v>36</v>
      </c>
      <c r="O40" s="3" t="s">
        <v>61</v>
      </c>
      <c r="P40" s="122">
        <v>10</v>
      </c>
      <c r="Q40" s="3">
        <v>48183</v>
      </c>
      <c r="R40" s="3">
        <v>45657</v>
      </c>
      <c r="S40" s="122">
        <v>36</v>
      </c>
      <c r="T40" s="5">
        <v>4.4999999999999998E-2</v>
      </c>
      <c r="U40" s="5">
        <v>5.6000000000000001E-2</v>
      </c>
      <c r="V40" t="s">
        <v>134</v>
      </c>
      <c r="W40" s="5">
        <v>4.5510066248739545E-3</v>
      </c>
      <c r="Y40" s="94">
        <v>130228</v>
      </c>
      <c r="Z40" s="94">
        <v>0</v>
      </c>
      <c r="AA40" s="94">
        <f t="shared" si="11"/>
        <v>130228</v>
      </c>
      <c r="AB40" s="94"/>
      <c r="AC40" s="94">
        <f t="shared" si="12"/>
        <v>130228</v>
      </c>
      <c r="AD40" s="94">
        <v>20000</v>
      </c>
      <c r="AE40" s="94">
        <v>0</v>
      </c>
      <c r="AF40" s="94">
        <v>0</v>
      </c>
      <c r="AG40" s="94">
        <f>NPV(W40,AC40:AC53)</f>
        <v>252401.28975516721</v>
      </c>
      <c r="AH40">
        <f t="shared" si="13"/>
        <v>13</v>
      </c>
      <c r="AI40" s="94">
        <f t="shared" si="14"/>
        <v>18768.177023328288</v>
      </c>
      <c r="AJ40" s="94">
        <f t="shared" si="15"/>
        <v>0</v>
      </c>
      <c r="AK40" s="94">
        <f t="shared" si="16"/>
        <v>0</v>
      </c>
      <c r="AL40" s="94">
        <f t="shared" si="25"/>
        <v>271169.46677849541</v>
      </c>
      <c r="AM40" s="94">
        <f t="shared" si="17"/>
        <v>1234.0940397724705</v>
      </c>
      <c r="AN40" s="94">
        <f t="shared" si="18"/>
        <v>-130228</v>
      </c>
      <c r="AO40" s="94">
        <f t="shared" si="19"/>
        <v>0</v>
      </c>
      <c r="AP40" s="94">
        <f t="shared" si="20"/>
        <v>142175.56081826787</v>
      </c>
      <c r="AQ40" s="94">
        <v>0</v>
      </c>
      <c r="AR40" s="94">
        <v>0</v>
      </c>
      <c r="AS40" s="94">
        <v>0</v>
      </c>
      <c r="AT40" s="94">
        <f t="shared" si="26"/>
        <v>151524.43806771038</v>
      </c>
      <c r="AU40" s="94">
        <v>20000</v>
      </c>
      <c r="AV40" s="94"/>
      <c r="AW40" s="94">
        <f t="shared" si="21"/>
        <v>0</v>
      </c>
      <c r="AX40" s="94">
        <f t="shared" si="27"/>
        <v>0</v>
      </c>
      <c r="AY40">
        <f t="shared" si="22"/>
        <v>13</v>
      </c>
      <c r="AZ40" s="94">
        <f t="shared" si="23"/>
        <v>9394.6027191221692</v>
      </c>
      <c r="BA40" s="94">
        <f t="shared" si="24"/>
        <v>142129.83534858821</v>
      </c>
      <c r="BB40" t="s">
        <v>9</v>
      </c>
      <c r="BC40" t="s">
        <v>56</v>
      </c>
      <c r="BD40" s="9">
        <v>45167.517858796295</v>
      </c>
    </row>
    <row r="41" spans="1:56" x14ac:dyDescent="0.25">
      <c r="A41" s="11"/>
      <c r="B41" s="22"/>
      <c r="C41" s="23"/>
      <c r="D41" s="8"/>
      <c r="E41" s="122">
        <v>24</v>
      </c>
      <c r="F41" s="3">
        <v>45291</v>
      </c>
      <c r="G41" s="3">
        <v>44531</v>
      </c>
      <c r="H41" s="3">
        <v>45657</v>
      </c>
      <c r="I41" s="3" t="s">
        <v>61</v>
      </c>
      <c r="J41" s="3">
        <v>46387</v>
      </c>
      <c r="K41" s="3" t="s">
        <v>61</v>
      </c>
      <c r="L41" s="3">
        <v>45292</v>
      </c>
      <c r="M41" s="3">
        <v>45657</v>
      </c>
      <c r="N41" s="122">
        <v>36</v>
      </c>
      <c r="O41" s="3" t="s">
        <v>61</v>
      </c>
      <c r="P41" s="122">
        <v>10</v>
      </c>
      <c r="Q41" s="3">
        <v>48183</v>
      </c>
      <c r="R41" s="3">
        <v>45657</v>
      </c>
      <c r="S41" s="122">
        <v>36</v>
      </c>
      <c r="T41" s="5">
        <v>4.4999999999999998E-2</v>
      </c>
      <c r="U41" s="5">
        <v>5.6000000000000001E-2</v>
      </c>
      <c r="V41" t="s">
        <v>134</v>
      </c>
      <c r="W41" s="5">
        <v>4.5510066248739545E-3</v>
      </c>
      <c r="Y41" s="94">
        <v>0</v>
      </c>
      <c r="Z41" s="94">
        <v>0</v>
      </c>
      <c r="AA41" s="94">
        <f t="shared" si="11"/>
        <v>0</v>
      </c>
      <c r="AB41" s="94"/>
      <c r="AC41" s="94">
        <f t="shared" si="12"/>
        <v>0</v>
      </c>
      <c r="AD41" s="94">
        <v>20000</v>
      </c>
      <c r="AE41" s="94">
        <v>0</v>
      </c>
      <c r="AF41" s="94">
        <v>0</v>
      </c>
      <c r="AG41" s="94">
        <f>NPV(W41,AC41:AC53)</f>
        <v>123321.96969696968</v>
      </c>
      <c r="AH41">
        <f t="shared" si="13"/>
        <v>12</v>
      </c>
      <c r="AI41" s="94">
        <f t="shared" si="14"/>
        <v>18853.591121298261</v>
      </c>
      <c r="AJ41" s="94">
        <f t="shared" si="15"/>
        <v>0</v>
      </c>
      <c r="AK41" s="94">
        <f t="shared" si="16"/>
        <v>0</v>
      </c>
      <c r="AL41" s="94">
        <f t="shared" si="25"/>
        <v>142175.56081826787</v>
      </c>
      <c r="AM41" s="94">
        <f t="shared" si="17"/>
        <v>647.04191917910714</v>
      </c>
      <c r="AN41" s="94">
        <f t="shared" si="18"/>
        <v>0</v>
      </c>
      <c r="AO41" s="94">
        <f t="shared" si="19"/>
        <v>0</v>
      </c>
      <c r="AP41" s="94">
        <f t="shared" si="20"/>
        <v>142822.60273744698</v>
      </c>
      <c r="AQ41" s="94">
        <v>0</v>
      </c>
      <c r="AR41" s="94">
        <v>0</v>
      </c>
      <c r="AS41" s="94">
        <v>0</v>
      </c>
      <c r="AT41" s="94">
        <f t="shared" si="26"/>
        <v>142129.83534858821</v>
      </c>
      <c r="AU41" s="94">
        <v>20000</v>
      </c>
      <c r="AV41" s="94"/>
      <c r="AW41" s="94">
        <f t="shared" si="21"/>
        <v>0</v>
      </c>
      <c r="AX41" s="94">
        <f t="shared" si="27"/>
        <v>0</v>
      </c>
      <c r="AY41">
        <f t="shared" si="22"/>
        <v>12</v>
      </c>
      <c r="AZ41" s="94">
        <f t="shared" si="23"/>
        <v>9394.6027191221692</v>
      </c>
      <c r="BA41" s="94">
        <f t="shared" si="24"/>
        <v>132735.23262946605</v>
      </c>
      <c r="BB41" t="s">
        <v>9</v>
      </c>
      <c r="BC41" t="s">
        <v>56</v>
      </c>
      <c r="BD41" s="9">
        <v>45167.517858796295</v>
      </c>
    </row>
    <row r="42" spans="1:56" x14ac:dyDescent="0.25">
      <c r="A42" s="11"/>
      <c r="B42" s="22" t="s">
        <v>21</v>
      </c>
      <c r="C42" s="29" cm="1">
        <f t="array" ref="C42">IF(C38="Yes",EOMONTH(C40,0),IF(IDATE(C40),MIN(EOMONTH(C33,0),EOMONTH(C40,0)),EOMONTH(C33,0)))</f>
        <v>45657</v>
      </c>
      <c r="D42" s="8"/>
      <c r="E42" s="122">
        <v>25</v>
      </c>
      <c r="F42" s="3">
        <v>45322</v>
      </c>
      <c r="G42" s="3">
        <v>44531</v>
      </c>
      <c r="H42" s="3">
        <v>45657</v>
      </c>
      <c r="I42" s="3" t="s">
        <v>61</v>
      </c>
      <c r="J42" s="3">
        <v>46387</v>
      </c>
      <c r="K42" s="3" t="s">
        <v>61</v>
      </c>
      <c r="L42" s="3">
        <v>45292</v>
      </c>
      <c r="M42" s="3">
        <v>45657</v>
      </c>
      <c r="N42" s="122">
        <v>36</v>
      </c>
      <c r="O42" s="3" t="s">
        <v>61</v>
      </c>
      <c r="P42" s="122">
        <v>10</v>
      </c>
      <c r="Q42" s="3">
        <v>48183</v>
      </c>
      <c r="R42" s="3">
        <v>45657</v>
      </c>
      <c r="S42" s="122">
        <v>36</v>
      </c>
      <c r="T42" s="5">
        <v>4.4999999999999998E-2</v>
      </c>
      <c r="U42" s="5">
        <v>5.6000000000000001E-2</v>
      </c>
      <c r="V42" t="s">
        <v>134</v>
      </c>
      <c r="W42" s="5">
        <v>4.5510066248739545E-3</v>
      </c>
      <c r="Y42" s="94">
        <v>0</v>
      </c>
      <c r="Z42" s="94">
        <v>0</v>
      </c>
      <c r="AA42" s="94">
        <f t="shared" si="11"/>
        <v>0</v>
      </c>
      <c r="AB42" s="94"/>
      <c r="AC42" s="94">
        <f t="shared" si="12"/>
        <v>0</v>
      </c>
      <c r="AD42" s="94">
        <v>20000</v>
      </c>
      <c r="AE42" s="94">
        <v>0</v>
      </c>
      <c r="AF42" s="94">
        <v>0</v>
      </c>
      <c r="AG42" s="94">
        <f>NPV(W42,AC42:AC53)</f>
        <v>123883.20879805309</v>
      </c>
      <c r="AH42">
        <f t="shared" si="13"/>
        <v>11</v>
      </c>
      <c r="AI42" s="94">
        <f t="shared" si="14"/>
        <v>18939.393939393954</v>
      </c>
      <c r="AJ42" s="94">
        <f t="shared" si="15"/>
        <v>0</v>
      </c>
      <c r="AK42" s="94">
        <f t="shared" si="16"/>
        <v>0</v>
      </c>
      <c r="AL42" s="94">
        <f t="shared" si="25"/>
        <v>142822.60273744698</v>
      </c>
      <c r="AM42" s="94">
        <f t="shared" si="17"/>
        <v>649.98661123986244</v>
      </c>
      <c r="AN42" s="94">
        <f t="shared" si="18"/>
        <v>0</v>
      </c>
      <c r="AO42" s="94">
        <f t="shared" si="19"/>
        <v>0</v>
      </c>
      <c r="AP42" s="94">
        <f t="shared" si="20"/>
        <v>143472.58934868686</v>
      </c>
      <c r="AQ42" s="94">
        <v>0</v>
      </c>
      <c r="AR42" s="94">
        <v>0</v>
      </c>
      <c r="AS42" s="94">
        <v>0</v>
      </c>
      <c r="AT42" s="94">
        <f t="shared" si="26"/>
        <v>132735.23262946605</v>
      </c>
      <c r="AU42" s="94">
        <v>20000</v>
      </c>
      <c r="AV42" s="94"/>
      <c r="AW42" s="94">
        <f t="shared" si="21"/>
        <v>0</v>
      </c>
      <c r="AX42" s="94">
        <f t="shared" si="27"/>
        <v>0</v>
      </c>
      <c r="AY42">
        <f t="shared" si="22"/>
        <v>11</v>
      </c>
      <c r="AZ42" s="94">
        <f t="shared" si="23"/>
        <v>9394.602719122171</v>
      </c>
      <c r="BA42" s="94">
        <f t="shared" si="24"/>
        <v>123340.62991034388</v>
      </c>
      <c r="BB42" t="s">
        <v>9</v>
      </c>
      <c r="BC42" t="s">
        <v>56</v>
      </c>
      <c r="BD42" s="9">
        <v>45167.517858796295</v>
      </c>
    </row>
    <row r="43" spans="1:56" x14ac:dyDescent="0.25">
      <c r="A43" s="11"/>
      <c r="B43" s="30" t="s">
        <v>15</v>
      </c>
      <c r="C43" s="31">
        <f>(YEAR(C42)-YEAR(C24))*12+MONTH(C42)-MONTH(C24)</f>
        <v>36</v>
      </c>
      <c r="D43" s="8"/>
      <c r="E43" s="122">
        <v>26</v>
      </c>
      <c r="F43" s="3">
        <v>45351</v>
      </c>
      <c r="G43" s="3">
        <v>44531</v>
      </c>
      <c r="H43" s="3">
        <v>45657</v>
      </c>
      <c r="I43" s="3" t="s">
        <v>61</v>
      </c>
      <c r="J43" s="3">
        <v>46387</v>
      </c>
      <c r="K43" s="3" t="s">
        <v>61</v>
      </c>
      <c r="L43" s="3">
        <v>45292</v>
      </c>
      <c r="M43" s="3">
        <v>45657</v>
      </c>
      <c r="N43" s="122">
        <v>36</v>
      </c>
      <c r="O43" s="3" t="s">
        <v>61</v>
      </c>
      <c r="P43" s="122">
        <v>10</v>
      </c>
      <c r="Q43" s="3">
        <v>48183</v>
      </c>
      <c r="R43" s="3">
        <v>45657</v>
      </c>
      <c r="S43" s="122">
        <v>36</v>
      </c>
      <c r="T43" s="5">
        <v>4.4999999999999998E-2</v>
      </c>
      <c r="U43" s="5">
        <v>5.6000000000000001E-2</v>
      </c>
      <c r="V43" t="s">
        <v>134</v>
      </c>
      <c r="W43" s="5">
        <v>4.5510066248739545E-3</v>
      </c>
      <c r="Y43" s="94">
        <v>0</v>
      </c>
      <c r="Z43" s="94">
        <v>0</v>
      </c>
      <c r="AA43" s="94">
        <f t="shared" si="11"/>
        <v>0</v>
      </c>
      <c r="AB43" s="94"/>
      <c r="AC43" s="94">
        <f t="shared" si="12"/>
        <v>0</v>
      </c>
      <c r="AD43" s="94">
        <v>20000</v>
      </c>
      <c r="AE43" s="94">
        <v>0</v>
      </c>
      <c r="AF43" s="94">
        <v>0</v>
      </c>
      <c r="AG43" s="94">
        <f>NPV(W43,AC43:AC53)</f>
        <v>124447.00210200369</v>
      </c>
      <c r="AH43">
        <f t="shared" si="13"/>
        <v>10</v>
      </c>
      <c r="AI43" s="94">
        <f t="shared" si="14"/>
        <v>19025.58724668323</v>
      </c>
      <c r="AJ43" s="94">
        <f t="shared" si="15"/>
        <v>0</v>
      </c>
      <c r="AK43" s="94">
        <f t="shared" si="16"/>
        <v>0</v>
      </c>
      <c r="AL43" s="94">
        <f t="shared" si="25"/>
        <v>143472.58934868686</v>
      </c>
      <c r="AM43" s="94">
        <f t="shared" si="17"/>
        <v>652.94470461369451</v>
      </c>
      <c r="AN43" s="94">
        <f t="shared" si="18"/>
        <v>0</v>
      </c>
      <c r="AO43" s="94">
        <f t="shared" si="19"/>
        <v>0</v>
      </c>
      <c r="AP43" s="94">
        <f t="shared" si="20"/>
        <v>144125.53405330057</v>
      </c>
      <c r="AQ43" s="94">
        <v>0</v>
      </c>
      <c r="AR43" s="94">
        <v>0</v>
      </c>
      <c r="AS43" s="94">
        <v>0</v>
      </c>
      <c r="AT43" s="94">
        <f t="shared" si="26"/>
        <v>123340.62991034388</v>
      </c>
      <c r="AU43" s="94">
        <v>20000</v>
      </c>
      <c r="AV43" s="94"/>
      <c r="AW43" s="94">
        <f t="shared" si="21"/>
        <v>0</v>
      </c>
      <c r="AX43" s="94">
        <f t="shared" si="27"/>
        <v>0</v>
      </c>
      <c r="AY43">
        <f t="shared" si="22"/>
        <v>10</v>
      </c>
      <c r="AZ43" s="94">
        <f t="shared" si="23"/>
        <v>9394.602719122171</v>
      </c>
      <c r="BA43" s="94">
        <f t="shared" si="24"/>
        <v>113946.02719122171</v>
      </c>
      <c r="BB43" t="s">
        <v>9</v>
      </c>
      <c r="BC43" t="s">
        <v>56</v>
      </c>
      <c r="BD43" s="9">
        <v>45167.517858796295</v>
      </c>
    </row>
    <row r="44" spans="1:56" x14ac:dyDescent="0.25">
      <c r="A44" s="11"/>
      <c r="B44" s="22"/>
      <c r="C44" s="23"/>
      <c r="D44" s="8"/>
      <c r="E44" s="122">
        <v>27</v>
      </c>
      <c r="F44" s="3">
        <v>45382</v>
      </c>
      <c r="G44" s="3">
        <v>44531</v>
      </c>
      <c r="H44" s="3">
        <v>45657</v>
      </c>
      <c r="I44" s="3" t="s">
        <v>61</v>
      </c>
      <c r="J44" s="3">
        <v>46387</v>
      </c>
      <c r="K44" s="3" t="s">
        <v>61</v>
      </c>
      <c r="L44" s="3">
        <v>45292</v>
      </c>
      <c r="M44" s="3">
        <v>45657</v>
      </c>
      <c r="N44" s="122">
        <v>36</v>
      </c>
      <c r="O44" s="3" t="s">
        <v>61</v>
      </c>
      <c r="P44" s="122">
        <v>10</v>
      </c>
      <c r="Q44" s="3">
        <v>48183</v>
      </c>
      <c r="R44" s="3">
        <v>45657</v>
      </c>
      <c r="S44" s="122">
        <v>36</v>
      </c>
      <c r="T44" s="5">
        <v>4.4999999999999998E-2</v>
      </c>
      <c r="U44" s="5">
        <v>5.6000000000000001E-2</v>
      </c>
      <c r="V44" t="s">
        <v>134</v>
      </c>
      <c r="W44" s="5">
        <v>4.5510066248739545E-3</v>
      </c>
      <c r="Y44" s="94">
        <v>0</v>
      </c>
      <c r="Z44" s="94">
        <v>0</v>
      </c>
      <c r="AA44" s="94">
        <f t="shared" si="11"/>
        <v>0</v>
      </c>
      <c r="AB44" s="94"/>
      <c r="AC44" s="94">
        <f t="shared" si="12"/>
        <v>0</v>
      </c>
      <c r="AD44" s="94">
        <v>20000</v>
      </c>
      <c r="AE44" s="94">
        <v>0</v>
      </c>
      <c r="AF44" s="94">
        <v>0</v>
      </c>
      <c r="AG44" s="94">
        <f>NPV(W44,AC44:AC53)</f>
        <v>125013.36123301563</v>
      </c>
      <c r="AH44">
        <f t="shared" si="13"/>
        <v>9</v>
      </c>
      <c r="AI44" s="94">
        <f t="shared" si="14"/>
        <v>19112.172820285003</v>
      </c>
      <c r="AJ44" s="94">
        <f t="shared" si="15"/>
        <v>0</v>
      </c>
      <c r="AK44" s="94">
        <f t="shared" si="16"/>
        <v>0</v>
      </c>
      <c r="AL44" s="94">
        <f t="shared" si="25"/>
        <v>144125.53405330057</v>
      </c>
      <c r="AM44" s="94">
        <f t="shared" si="17"/>
        <v>655.91626029006784</v>
      </c>
      <c r="AN44" s="94">
        <f t="shared" si="18"/>
        <v>0</v>
      </c>
      <c r="AO44" s="94">
        <f t="shared" si="19"/>
        <v>0</v>
      </c>
      <c r="AP44" s="94">
        <f t="shared" si="20"/>
        <v>144781.45031359064</v>
      </c>
      <c r="AQ44" s="94">
        <v>0</v>
      </c>
      <c r="AR44" s="94">
        <v>0</v>
      </c>
      <c r="AS44" s="94">
        <v>0</v>
      </c>
      <c r="AT44" s="94">
        <f t="shared" si="26"/>
        <v>113946.02719122171</v>
      </c>
      <c r="AU44" s="94">
        <v>20000</v>
      </c>
      <c r="AV44" s="94"/>
      <c r="AW44" s="94">
        <f t="shared" si="21"/>
        <v>0</v>
      </c>
      <c r="AX44" s="94">
        <f t="shared" si="27"/>
        <v>0</v>
      </c>
      <c r="AY44">
        <f t="shared" si="22"/>
        <v>9</v>
      </c>
      <c r="AZ44" s="94">
        <f t="shared" si="23"/>
        <v>9394.602719122171</v>
      </c>
      <c r="BA44" s="94">
        <f t="shared" si="24"/>
        <v>104551.42447209955</v>
      </c>
      <c r="BB44" t="s">
        <v>9</v>
      </c>
      <c r="BC44" t="s">
        <v>56</v>
      </c>
      <c r="BD44" s="9">
        <v>45167.517858796295</v>
      </c>
    </row>
    <row r="45" spans="1:56" x14ac:dyDescent="0.25">
      <c r="A45" s="11"/>
      <c r="B45" s="27" t="s">
        <v>16</v>
      </c>
      <c r="C45" s="28"/>
      <c r="D45" s="8"/>
      <c r="E45" s="122">
        <v>28</v>
      </c>
      <c r="F45" s="3">
        <v>45412</v>
      </c>
      <c r="G45" s="3">
        <v>44531</v>
      </c>
      <c r="H45" s="3">
        <v>45657</v>
      </c>
      <c r="I45" s="3" t="s">
        <v>61</v>
      </c>
      <c r="J45" s="3">
        <v>46387</v>
      </c>
      <c r="K45" s="3" t="s">
        <v>61</v>
      </c>
      <c r="L45" s="3">
        <v>45292</v>
      </c>
      <c r="M45" s="3">
        <v>45657</v>
      </c>
      <c r="N45" s="122">
        <v>36</v>
      </c>
      <c r="O45" s="3" t="s">
        <v>61</v>
      </c>
      <c r="P45" s="122">
        <v>10</v>
      </c>
      <c r="Q45" s="3">
        <v>48183</v>
      </c>
      <c r="R45" s="3">
        <v>45657</v>
      </c>
      <c r="S45" s="122">
        <v>36</v>
      </c>
      <c r="T45" s="5">
        <v>4.4999999999999998E-2</v>
      </c>
      <c r="U45" s="5">
        <v>5.6000000000000001E-2</v>
      </c>
      <c r="V45" t="s">
        <v>134</v>
      </c>
      <c r="W45" s="5">
        <v>4.5510066248739545E-3</v>
      </c>
      <c r="Y45" s="94">
        <v>0</v>
      </c>
      <c r="Z45" s="94">
        <v>0</v>
      </c>
      <c r="AA45" s="94">
        <f t="shared" si="11"/>
        <v>0</v>
      </c>
      <c r="AB45" s="94"/>
      <c r="AC45" s="94">
        <f t="shared" si="12"/>
        <v>0</v>
      </c>
      <c r="AD45" s="94">
        <v>20000</v>
      </c>
      <c r="AE45" s="94">
        <v>0</v>
      </c>
      <c r="AF45" s="94">
        <v>0</v>
      </c>
      <c r="AG45" s="94">
        <f>NPV(W45,AC45:AC53)</f>
        <v>125582.29786818485</v>
      </c>
      <c r="AH45">
        <f t="shared" si="13"/>
        <v>8</v>
      </c>
      <c r="AI45" s="94">
        <f t="shared" si="14"/>
        <v>19199.152445405853</v>
      </c>
      <c r="AJ45" s="94">
        <f t="shared" si="15"/>
        <v>0</v>
      </c>
      <c r="AK45" s="94">
        <f t="shared" si="16"/>
        <v>0</v>
      </c>
      <c r="AL45" s="94">
        <f t="shared" si="25"/>
        <v>144781.45031359064</v>
      </c>
      <c r="AM45" s="94">
        <f t="shared" si="17"/>
        <v>658.9013395360106</v>
      </c>
      <c r="AN45" s="94">
        <f t="shared" si="18"/>
        <v>0</v>
      </c>
      <c r="AO45" s="94">
        <f t="shared" si="19"/>
        <v>0</v>
      </c>
      <c r="AP45" s="94">
        <f t="shared" si="20"/>
        <v>145440.35165312665</v>
      </c>
      <c r="AQ45" s="94">
        <v>0</v>
      </c>
      <c r="AR45" s="94">
        <v>0</v>
      </c>
      <c r="AS45" s="94">
        <v>0</v>
      </c>
      <c r="AT45" s="94">
        <f t="shared" si="26"/>
        <v>104551.42447209955</v>
      </c>
      <c r="AU45" s="94">
        <v>20000</v>
      </c>
      <c r="AV45" s="94"/>
      <c r="AW45" s="94">
        <f t="shared" si="21"/>
        <v>0</v>
      </c>
      <c r="AX45" s="94">
        <f t="shared" si="27"/>
        <v>0</v>
      </c>
      <c r="AY45">
        <f t="shared" si="22"/>
        <v>8</v>
      </c>
      <c r="AZ45" s="94">
        <f t="shared" si="23"/>
        <v>9394.6027191221729</v>
      </c>
      <c r="BA45" s="94">
        <f t="shared" si="24"/>
        <v>95156.821752977383</v>
      </c>
      <c r="BB45" t="s">
        <v>9</v>
      </c>
      <c r="BC45" t="s">
        <v>56</v>
      </c>
      <c r="BD45" s="9">
        <v>45167.517858796295</v>
      </c>
    </row>
    <row r="46" spans="1:56" x14ac:dyDescent="0.25">
      <c r="A46" s="11"/>
      <c r="B46" s="22"/>
      <c r="C46" s="23"/>
      <c r="D46" s="8"/>
      <c r="E46" s="122">
        <v>29</v>
      </c>
      <c r="F46" s="3">
        <v>45443</v>
      </c>
      <c r="G46" s="3">
        <v>44531</v>
      </c>
      <c r="H46" s="3">
        <v>45657</v>
      </c>
      <c r="I46" s="3" t="s">
        <v>61</v>
      </c>
      <c r="J46" s="3">
        <v>46387</v>
      </c>
      <c r="K46" s="3" t="s">
        <v>61</v>
      </c>
      <c r="L46" s="3">
        <v>45292</v>
      </c>
      <c r="M46" s="3">
        <v>45657</v>
      </c>
      <c r="N46" s="122">
        <v>36</v>
      </c>
      <c r="O46" s="3" t="s">
        <v>61</v>
      </c>
      <c r="P46" s="122">
        <v>10</v>
      </c>
      <c r="Q46" s="3">
        <v>48183</v>
      </c>
      <c r="R46" s="3">
        <v>45657</v>
      </c>
      <c r="S46" s="122">
        <v>36</v>
      </c>
      <c r="T46" s="5">
        <v>4.4999999999999998E-2</v>
      </c>
      <c r="U46" s="5">
        <v>5.6000000000000001E-2</v>
      </c>
      <c r="V46" t="s">
        <v>134</v>
      </c>
      <c r="W46" s="5">
        <v>4.5510066248739545E-3</v>
      </c>
      <c r="Y46" s="94">
        <v>0</v>
      </c>
      <c r="Z46" s="94">
        <v>0</v>
      </c>
      <c r="AA46" s="94">
        <f t="shared" si="11"/>
        <v>0</v>
      </c>
      <c r="AB46" s="94"/>
      <c r="AC46" s="94">
        <f t="shared" si="12"/>
        <v>0</v>
      </c>
      <c r="AD46" s="94">
        <v>20000</v>
      </c>
      <c r="AE46" s="94">
        <v>0</v>
      </c>
      <c r="AF46" s="94">
        <v>0</v>
      </c>
      <c r="AG46" s="94">
        <f>NPV(W46,AC46:AC53)</f>
        <v>126153.82373774984</v>
      </c>
      <c r="AH46">
        <f t="shared" si="13"/>
        <v>7</v>
      </c>
      <c r="AI46" s="94">
        <f t="shared" si="14"/>
        <v>19286.527915376861</v>
      </c>
      <c r="AJ46" s="94">
        <f t="shared" si="15"/>
        <v>0</v>
      </c>
      <c r="AK46" s="94">
        <f t="shared" si="16"/>
        <v>0</v>
      </c>
      <c r="AL46" s="94">
        <f t="shared" si="25"/>
        <v>145440.35165312665</v>
      </c>
      <c r="AM46" s="94">
        <f t="shared" si="17"/>
        <v>661.90000389737725</v>
      </c>
      <c r="AN46" s="94">
        <f t="shared" si="18"/>
        <v>0</v>
      </c>
      <c r="AO46" s="94">
        <f t="shared" si="19"/>
        <v>0</v>
      </c>
      <c r="AP46" s="94">
        <f t="shared" si="20"/>
        <v>146102.25165702403</v>
      </c>
      <c r="AQ46" s="94">
        <v>0</v>
      </c>
      <c r="AR46" s="94">
        <v>0</v>
      </c>
      <c r="AS46" s="94">
        <v>0</v>
      </c>
      <c r="AT46" s="94">
        <f t="shared" si="26"/>
        <v>95156.821752977383</v>
      </c>
      <c r="AU46" s="94">
        <v>20000</v>
      </c>
      <c r="AV46" s="94"/>
      <c r="AW46" s="94">
        <f t="shared" si="21"/>
        <v>0</v>
      </c>
      <c r="AX46" s="94">
        <f t="shared" si="27"/>
        <v>0</v>
      </c>
      <c r="AY46">
        <f t="shared" si="22"/>
        <v>7</v>
      </c>
      <c r="AZ46" s="94">
        <f t="shared" si="23"/>
        <v>9394.6027191221729</v>
      </c>
      <c r="BA46" s="94">
        <f t="shared" si="24"/>
        <v>85762.219033855217</v>
      </c>
      <c r="BB46" t="s">
        <v>9</v>
      </c>
      <c r="BC46" t="s">
        <v>56</v>
      </c>
      <c r="BD46" s="9">
        <v>45167.517858796295</v>
      </c>
    </row>
    <row r="47" spans="1:56" x14ac:dyDescent="0.25">
      <c r="A47" s="11"/>
      <c r="B47" s="22" t="s">
        <v>25</v>
      </c>
      <c r="C47" s="25" t="s">
        <v>139</v>
      </c>
      <c r="D47" s="8"/>
      <c r="E47" s="122">
        <v>30</v>
      </c>
      <c r="F47" s="3">
        <v>45473</v>
      </c>
      <c r="G47" s="3">
        <v>44531</v>
      </c>
      <c r="H47" s="3">
        <v>45657</v>
      </c>
      <c r="I47" s="3" t="s">
        <v>61</v>
      </c>
      <c r="J47" s="3">
        <v>46387</v>
      </c>
      <c r="K47" s="3" t="s">
        <v>61</v>
      </c>
      <c r="L47" s="3">
        <v>45292</v>
      </c>
      <c r="M47" s="3">
        <v>45657</v>
      </c>
      <c r="N47" s="122">
        <v>36</v>
      </c>
      <c r="O47" s="3" t="s">
        <v>61</v>
      </c>
      <c r="P47" s="122">
        <v>10</v>
      </c>
      <c r="Q47" s="3">
        <v>48183</v>
      </c>
      <c r="R47" s="3">
        <v>45657</v>
      </c>
      <c r="S47" s="122">
        <v>36</v>
      </c>
      <c r="T47" s="5">
        <v>4.4999999999999998E-2</v>
      </c>
      <c r="U47" s="5">
        <v>5.6000000000000001E-2</v>
      </c>
      <c r="V47" t="s">
        <v>134</v>
      </c>
      <c r="W47" s="5">
        <v>4.5510066248739545E-3</v>
      </c>
      <c r="Y47" s="94">
        <v>0</v>
      </c>
      <c r="Z47" s="94">
        <v>0</v>
      </c>
      <c r="AA47" s="94">
        <f t="shared" si="11"/>
        <v>0</v>
      </c>
      <c r="AB47" s="94"/>
      <c r="AC47" s="94">
        <f t="shared" si="12"/>
        <v>0</v>
      </c>
      <c r="AD47" s="94">
        <v>20000</v>
      </c>
      <c r="AE47" s="94">
        <v>0</v>
      </c>
      <c r="AF47" s="94">
        <v>0</v>
      </c>
      <c r="AG47" s="94">
        <f>NPV(W47,AC47:AC53)</f>
        <v>126727.95062533354</v>
      </c>
      <c r="AH47">
        <f t="shared" si="13"/>
        <v>6</v>
      </c>
      <c r="AI47" s="94">
        <f t="shared" si="14"/>
        <v>19374.301031690553</v>
      </c>
      <c r="AJ47" s="94">
        <f t="shared" si="15"/>
        <v>0</v>
      </c>
      <c r="AK47" s="94">
        <f t="shared" si="16"/>
        <v>0</v>
      </c>
      <c r="AL47" s="94">
        <f t="shared" si="25"/>
        <v>146102.25165702403</v>
      </c>
      <c r="AM47" s="94">
        <f t="shared" si="17"/>
        <v>664.91231520011831</v>
      </c>
      <c r="AN47" s="94">
        <f t="shared" si="18"/>
        <v>0</v>
      </c>
      <c r="AO47" s="94">
        <f t="shared" si="19"/>
        <v>0</v>
      </c>
      <c r="AP47" s="94">
        <f t="shared" si="20"/>
        <v>146767.16397222414</v>
      </c>
      <c r="AQ47" s="94">
        <v>0</v>
      </c>
      <c r="AR47" s="94">
        <v>0</v>
      </c>
      <c r="AS47" s="94">
        <v>0</v>
      </c>
      <c r="AT47" s="94">
        <f t="shared" si="26"/>
        <v>85762.219033855217</v>
      </c>
      <c r="AU47" s="94">
        <v>20000</v>
      </c>
      <c r="AV47" s="94"/>
      <c r="AW47" s="94">
        <f t="shared" si="21"/>
        <v>0</v>
      </c>
      <c r="AX47" s="94">
        <f t="shared" si="27"/>
        <v>0</v>
      </c>
      <c r="AY47">
        <f t="shared" si="22"/>
        <v>6</v>
      </c>
      <c r="AZ47" s="94">
        <f t="shared" si="23"/>
        <v>9394.6027191221747</v>
      </c>
      <c r="BA47" s="94">
        <f t="shared" si="24"/>
        <v>76367.616314733037</v>
      </c>
      <c r="BB47" t="s">
        <v>9</v>
      </c>
      <c r="BC47" t="s">
        <v>56</v>
      </c>
      <c r="BD47" s="9">
        <v>45167.517858796295</v>
      </c>
    </row>
    <row r="48" spans="1:56" x14ac:dyDescent="0.25">
      <c r="A48" s="11"/>
      <c r="B48" s="32" t="str">
        <f>"Total fixed "&amp;LOWER(C47)&amp;" payment"</f>
        <v>Total fixed annually payment</v>
      </c>
      <c r="C48" s="33">
        <v>130228</v>
      </c>
      <c r="D48" s="8"/>
      <c r="E48" s="122">
        <v>31</v>
      </c>
      <c r="F48" s="3">
        <v>45504</v>
      </c>
      <c r="G48" s="3">
        <v>44531</v>
      </c>
      <c r="H48" s="3">
        <v>45657</v>
      </c>
      <c r="I48" s="3" t="s">
        <v>61</v>
      </c>
      <c r="J48" s="3">
        <v>46387</v>
      </c>
      <c r="K48" s="3" t="s">
        <v>61</v>
      </c>
      <c r="L48" s="3">
        <v>45292</v>
      </c>
      <c r="M48" s="3">
        <v>45657</v>
      </c>
      <c r="N48" s="122">
        <v>36</v>
      </c>
      <c r="O48" s="3" t="s">
        <v>61</v>
      </c>
      <c r="P48" s="122">
        <v>10</v>
      </c>
      <c r="Q48" s="3">
        <v>48183</v>
      </c>
      <c r="R48" s="3">
        <v>45657</v>
      </c>
      <c r="S48" s="122">
        <v>36</v>
      </c>
      <c r="T48" s="5">
        <v>4.4999999999999998E-2</v>
      </c>
      <c r="U48" s="5">
        <v>5.6000000000000001E-2</v>
      </c>
      <c r="V48" t="s">
        <v>134</v>
      </c>
      <c r="W48" s="5">
        <v>4.5510066248739545E-3</v>
      </c>
      <c r="Y48" s="94">
        <v>0</v>
      </c>
      <c r="Z48" s="94">
        <v>0</v>
      </c>
      <c r="AA48" s="94">
        <f t="shared" si="11"/>
        <v>0</v>
      </c>
      <c r="AB48" s="94"/>
      <c r="AC48" s="94">
        <f t="shared" si="12"/>
        <v>0</v>
      </c>
      <c r="AD48" s="94">
        <v>20000</v>
      </c>
      <c r="AE48" s="94">
        <v>0</v>
      </c>
      <c r="AF48" s="94">
        <v>0</v>
      </c>
      <c r="AG48" s="94">
        <f>NPV(W48,AC48:AC53)</f>
        <v>127304.69036818611</v>
      </c>
      <c r="AH48">
        <f t="shared" si="13"/>
        <v>5</v>
      </c>
      <c r="AI48" s="94">
        <f t="shared" si="14"/>
        <v>19462.473604038081</v>
      </c>
      <c r="AJ48" s="94">
        <f t="shared" si="15"/>
        <v>0</v>
      </c>
      <c r="AK48" s="94">
        <f t="shared" si="16"/>
        <v>0</v>
      </c>
      <c r="AL48" s="94">
        <f t="shared" si="25"/>
        <v>146767.16397222414</v>
      </c>
      <c r="AM48" s="94">
        <f t="shared" si="17"/>
        <v>667.93833555155425</v>
      </c>
      <c r="AN48" s="94">
        <f t="shared" si="18"/>
        <v>0</v>
      </c>
      <c r="AO48" s="94">
        <f t="shared" si="19"/>
        <v>0</v>
      </c>
      <c r="AP48" s="94">
        <f t="shared" si="20"/>
        <v>147435.1023077757</v>
      </c>
      <c r="AQ48" s="94">
        <v>0</v>
      </c>
      <c r="AR48" s="94">
        <v>0</v>
      </c>
      <c r="AS48" s="94">
        <v>0</v>
      </c>
      <c r="AT48" s="94">
        <f t="shared" si="26"/>
        <v>76367.616314733037</v>
      </c>
      <c r="AU48" s="94">
        <v>20000</v>
      </c>
      <c r="AV48" s="94"/>
      <c r="AW48" s="94">
        <f t="shared" si="21"/>
        <v>0</v>
      </c>
      <c r="AX48" s="94">
        <f t="shared" si="27"/>
        <v>0</v>
      </c>
      <c r="AY48">
        <f t="shared" si="22"/>
        <v>5</v>
      </c>
      <c r="AZ48" s="94">
        <f t="shared" si="23"/>
        <v>9394.6027191221729</v>
      </c>
      <c r="BA48" s="94">
        <f t="shared" si="24"/>
        <v>66973.013595610857</v>
      </c>
      <c r="BB48" t="s">
        <v>9</v>
      </c>
      <c r="BC48" t="s">
        <v>56</v>
      </c>
      <c r="BD48" s="9">
        <v>45167.517858796295</v>
      </c>
    </row>
    <row r="49" spans="1:56" x14ac:dyDescent="0.25">
      <c r="A49" s="11"/>
      <c r="B49" s="32" t="s">
        <v>26</v>
      </c>
      <c r="C49" s="33">
        <v>0</v>
      </c>
      <c r="D49" s="8"/>
      <c r="E49" s="122">
        <v>32</v>
      </c>
      <c r="F49" s="3">
        <v>45535</v>
      </c>
      <c r="G49" s="3">
        <v>44531</v>
      </c>
      <c r="H49" s="3">
        <v>45657</v>
      </c>
      <c r="I49" s="3" t="s">
        <v>61</v>
      </c>
      <c r="J49" s="3">
        <v>46387</v>
      </c>
      <c r="K49" s="3" t="s">
        <v>61</v>
      </c>
      <c r="L49" s="3">
        <v>45292</v>
      </c>
      <c r="M49" s="3">
        <v>45657</v>
      </c>
      <c r="N49" s="122">
        <v>36</v>
      </c>
      <c r="O49" s="3" t="s">
        <v>61</v>
      </c>
      <c r="P49" s="122">
        <v>10</v>
      </c>
      <c r="Q49" s="3">
        <v>48183</v>
      </c>
      <c r="R49" s="3">
        <v>45657</v>
      </c>
      <c r="S49" s="122">
        <v>36</v>
      </c>
      <c r="T49" s="5">
        <v>4.4999999999999998E-2</v>
      </c>
      <c r="U49" s="5">
        <v>5.6000000000000001E-2</v>
      </c>
      <c r="V49" t="s">
        <v>134</v>
      </c>
      <c r="W49" s="5">
        <v>4.5510066248739545E-3</v>
      </c>
      <c r="Y49" s="94">
        <v>0</v>
      </c>
      <c r="Z49" s="94">
        <v>0</v>
      </c>
      <c r="AA49" s="94">
        <f t="shared" si="11"/>
        <v>0</v>
      </c>
      <c r="AB49" s="94"/>
      <c r="AC49" s="94">
        <f t="shared" si="12"/>
        <v>0</v>
      </c>
      <c r="AD49" s="94">
        <v>20000</v>
      </c>
      <c r="AE49" s="94">
        <v>0</v>
      </c>
      <c r="AF49" s="94">
        <v>0</v>
      </c>
      <c r="AG49" s="94">
        <f>NPV(W49,AC49:AC53)</f>
        <v>127884.05485742926</v>
      </c>
      <c r="AH49">
        <f t="shared" si="13"/>
        <v>4</v>
      </c>
      <c r="AI49" s="94">
        <f t="shared" si="14"/>
        <v>19551.047450346494</v>
      </c>
      <c r="AJ49" s="94">
        <f t="shared" si="15"/>
        <v>0</v>
      </c>
      <c r="AK49" s="94">
        <f t="shared" si="16"/>
        <v>0</v>
      </c>
      <c r="AL49" s="94">
        <f t="shared" si="25"/>
        <v>147435.1023077757</v>
      </c>
      <c r="AM49" s="94">
        <f t="shared" si="17"/>
        <v>670.97812734165677</v>
      </c>
      <c r="AN49" s="94">
        <f t="shared" si="18"/>
        <v>0</v>
      </c>
      <c r="AO49" s="94">
        <f t="shared" si="19"/>
        <v>0</v>
      </c>
      <c r="AP49" s="94">
        <f t="shared" si="20"/>
        <v>148106.08043511736</v>
      </c>
      <c r="AQ49" s="94">
        <v>0</v>
      </c>
      <c r="AR49" s="94">
        <v>0</v>
      </c>
      <c r="AS49" s="94">
        <v>0</v>
      </c>
      <c r="AT49" s="94">
        <f t="shared" si="26"/>
        <v>66973.013595610857</v>
      </c>
      <c r="AU49" s="94">
        <v>20000</v>
      </c>
      <c r="AV49" s="94"/>
      <c r="AW49" s="94">
        <f t="shared" si="21"/>
        <v>0</v>
      </c>
      <c r="AX49" s="94">
        <f t="shared" si="27"/>
        <v>0</v>
      </c>
      <c r="AY49">
        <f t="shared" si="22"/>
        <v>4</v>
      </c>
      <c r="AZ49" s="94">
        <f t="shared" si="23"/>
        <v>9394.602719122171</v>
      </c>
      <c r="BA49" s="94">
        <f t="shared" si="24"/>
        <v>57578.410876488684</v>
      </c>
      <c r="BB49" t="s">
        <v>9</v>
      </c>
      <c r="BC49" t="s">
        <v>56</v>
      </c>
      <c r="BD49" s="9">
        <v>45167.517858796295</v>
      </c>
    </row>
    <row r="50" spans="1:56" x14ac:dyDescent="0.25">
      <c r="A50" s="11"/>
      <c r="B50" s="22" t="s">
        <v>19</v>
      </c>
      <c r="C50" s="34">
        <f>+C48-C49</f>
        <v>130228</v>
      </c>
      <c r="D50" s="8"/>
      <c r="E50" s="122">
        <v>33</v>
      </c>
      <c r="F50" s="3">
        <v>45565</v>
      </c>
      <c r="G50" s="3">
        <v>44531</v>
      </c>
      <c r="H50" s="3">
        <v>45657</v>
      </c>
      <c r="I50" s="3" t="s">
        <v>61</v>
      </c>
      <c r="J50" s="3">
        <v>46387</v>
      </c>
      <c r="K50" s="3" t="s">
        <v>61</v>
      </c>
      <c r="L50" s="3">
        <v>45292</v>
      </c>
      <c r="M50" s="3">
        <v>45657</v>
      </c>
      <c r="N50" s="122">
        <v>36</v>
      </c>
      <c r="O50" s="3" t="s">
        <v>61</v>
      </c>
      <c r="P50" s="122">
        <v>10</v>
      </c>
      <c r="Q50" s="3">
        <v>48183</v>
      </c>
      <c r="R50" s="3">
        <v>45657</v>
      </c>
      <c r="S50" s="122">
        <v>36</v>
      </c>
      <c r="T50" s="5">
        <v>4.4999999999999998E-2</v>
      </c>
      <c r="U50" s="5">
        <v>5.6000000000000001E-2</v>
      </c>
      <c r="V50" t="s">
        <v>134</v>
      </c>
      <c r="W50" s="5">
        <v>4.5510066248739545E-3</v>
      </c>
      <c r="Y50" s="94">
        <v>0</v>
      </c>
      <c r="Z50" s="94">
        <v>0</v>
      </c>
      <c r="AA50" s="94">
        <f t="shared" si="11"/>
        <v>0</v>
      </c>
      <c r="AB50" s="94"/>
      <c r="AC50" s="94">
        <f t="shared" si="12"/>
        <v>0</v>
      </c>
      <c r="AD50" s="94">
        <v>20000</v>
      </c>
      <c r="AE50" s="94">
        <v>0</v>
      </c>
      <c r="AF50" s="94">
        <v>0</v>
      </c>
      <c r="AG50" s="94">
        <f>NPV(W50,AC50:AC53)</f>
        <v>128466.05603830116</v>
      </c>
      <c r="AH50">
        <f t="shared" si="13"/>
        <v>3</v>
      </c>
      <c r="AI50" s="94">
        <f t="shared" si="14"/>
        <v>19640.024396816243</v>
      </c>
      <c r="AJ50" s="94">
        <f t="shared" si="15"/>
        <v>0</v>
      </c>
      <c r="AK50" s="94">
        <f t="shared" si="16"/>
        <v>0</v>
      </c>
      <c r="AL50" s="94">
        <f t="shared" si="25"/>
        <v>148106.08043511736</v>
      </c>
      <c r="AM50" s="94">
        <f t="shared" si="17"/>
        <v>674.03175324433414</v>
      </c>
      <c r="AN50" s="94">
        <f t="shared" si="18"/>
        <v>0</v>
      </c>
      <c r="AO50" s="94">
        <f t="shared" si="19"/>
        <v>0</v>
      </c>
      <c r="AP50" s="94">
        <f t="shared" si="20"/>
        <v>148780.1121883617</v>
      </c>
      <c r="AQ50" s="94">
        <v>0</v>
      </c>
      <c r="AR50" s="94">
        <v>0</v>
      </c>
      <c r="AS50" s="94">
        <v>0</v>
      </c>
      <c r="AT50" s="94">
        <f t="shared" si="26"/>
        <v>57578.410876488684</v>
      </c>
      <c r="AU50" s="94">
        <v>20000</v>
      </c>
      <c r="AV50" s="94"/>
      <c r="AW50" s="94">
        <f t="shared" si="21"/>
        <v>0</v>
      </c>
      <c r="AX50" s="94">
        <f t="shared" si="27"/>
        <v>0</v>
      </c>
      <c r="AY50">
        <f t="shared" si="22"/>
        <v>3</v>
      </c>
      <c r="AZ50" s="94">
        <f t="shared" si="23"/>
        <v>9394.602719122171</v>
      </c>
      <c r="BA50" s="94">
        <f t="shared" si="24"/>
        <v>48183.808157366511</v>
      </c>
      <c r="BB50" t="s">
        <v>9</v>
      </c>
      <c r="BC50" t="s">
        <v>56</v>
      </c>
      <c r="BD50" s="9">
        <v>45167.517858796295</v>
      </c>
    </row>
    <row r="51" spans="1:56" x14ac:dyDescent="0.25">
      <c r="A51" s="11"/>
      <c r="B51" s="22"/>
      <c r="C51" s="23"/>
      <c r="D51" s="8"/>
      <c r="E51" s="122">
        <v>34</v>
      </c>
      <c r="F51" s="3">
        <v>45596</v>
      </c>
      <c r="G51" s="3">
        <v>44531</v>
      </c>
      <c r="H51" s="3">
        <v>45657</v>
      </c>
      <c r="I51" s="3" t="s">
        <v>61</v>
      </c>
      <c r="J51" s="3">
        <v>46387</v>
      </c>
      <c r="K51" s="3" t="s">
        <v>61</v>
      </c>
      <c r="L51" s="3">
        <v>45292</v>
      </c>
      <c r="M51" s="3">
        <v>45657</v>
      </c>
      <c r="N51" s="122">
        <v>36</v>
      </c>
      <c r="O51" s="3" t="s">
        <v>61</v>
      </c>
      <c r="P51" s="122">
        <v>10</v>
      </c>
      <c r="Q51" s="3">
        <v>48183</v>
      </c>
      <c r="R51" s="3">
        <v>45657</v>
      </c>
      <c r="S51" s="122">
        <v>36</v>
      </c>
      <c r="T51" s="5">
        <v>4.4999999999999998E-2</v>
      </c>
      <c r="U51" s="5">
        <v>5.6000000000000001E-2</v>
      </c>
      <c r="V51" t="s">
        <v>134</v>
      </c>
      <c r="W51" s="5">
        <v>4.5510066248739545E-3</v>
      </c>
      <c r="Y51" s="94">
        <v>0</v>
      </c>
      <c r="Z51" s="94">
        <v>0</v>
      </c>
      <c r="AA51" s="94">
        <f t="shared" si="11"/>
        <v>0</v>
      </c>
      <c r="AB51" s="94"/>
      <c r="AC51" s="94">
        <f t="shared" si="12"/>
        <v>0</v>
      </c>
      <c r="AD51" s="94">
        <v>20000</v>
      </c>
      <c r="AE51" s="94">
        <v>0</v>
      </c>
      <c r="AF51" s="94">
        <v>0</v>
      </c>
      <c r="AG51" s="94">
        <f>NPV(W51,AC51:AC53)</f>
        <v>129050.7059104029</v>
      </c>
      <c r="AH51">
        <f t="shared" si="13"/>
        <v>2</v>
      </c>
      <c r="AI51" s="94">
        <f t="shared" si="14"/>
        <v>19729.406277958835</v>
      </c>
      <c r="AJ51" s="94">
        <f t="shared" si="15"/>
        <v>0</v>
      </c>
      <c r="AK51" s="94">
        <f t="shared" si="16"/>
        <v>0</v>
      </c>
      <c r="AL51" s="94">
        <f t="shared" si="25"/>
        <v>148780.1121883617</v>
      </c>
      <c r="AM51" s="94">
        <f t="shared" si="17"/>
        <v>677.09927621872441</v>
      </c>
      <c r="AN51" s="94">
        <f t="shared" si="18"/>
        <v>0</v>
      </c>
      <c r="AO51" s="94">
        <f t="shared" si="19"/>
        <v>0</v>
      </c>
      <c r="AP51" s="94">
        <f t="shared" si="20"/>
        <v>149457.21146458044</v>
      </c>
      <c r="AQ51" s="94">
        <v>0</v>
      </c>
      <c r="AR51" s="94">
        <v>0</v>
      </c>
      <c r="AS51" s="94">
        <v>0</v>
      </c>
      <c r="AT51" s="94">
        <f t="shared" si="26"/>
        <v>48183.808157366511</v>
      </c>
      <c r="AU51" s="94">
        <v>20000</v>
      </c>
      <c r="AV51" s="94"/>
      <c r="AW51" s="94">
        <f t="shared" si="21"/>
        <v>0</v>
      </c>
      <c r="AX51" s="94">
        <f t="shared" si="27"/>
        <v>0</v>
      </c>
      <c r="AY51">
        <f t="shared" si="22"/>
        <v>2</v>
      </c>
      <c r="AZ51" s="94">
        <f t="shared" si="23"/>
        <v>9394.602719122171</v>
      </c>
      <c r="BA51" s="94">
        <f t="shared" si="24"/>
        <v>38789.205438244338</v>
      </c>
      <c r="BB51" t="s">
        <v>9</v>
      </c>
      <c r="BC51" t="s">
        <v>56</v>
      </c>
      <c r="BD51" s="9">
        <v>45167.517858796295</v>
      </c>
    </row>
    <row r="52" spans="1:56" x14ac:dyDescent="0.25">
      <c r="A52" s="11"/>
      <c r="B52" s="86" t="str">
        <f>"Note: Variable payments are added as a second step in Section 1.1"</f>
        <v>Note: Variable payments are added as a second step in Section 1.1</v>
      </c>
      <c r="C52" s="23"/>
      <c r="D52" s="8"/>
      <c r="E52" s="122">
        <v>35</v>
      </c>
      <c r="F52" s="3">
        <v>45626</v>
      </c>
      <c r="G52" s="3">
        <v>44531</v>
      </c>
      <c r="H52" s="3">
        <v>45657</v>
      </c>
      <c r="I52" s="3" t="s">
        <v>61</v>
      </c>
      <c r="J52" s="3">
        <v>46387</v>
      </c>
      <c r="K52" s="3" t="s">
        <v>61</v>
      </c>
      <c r="L52" s="3">
        <v>45292</v>
      </c>
      <c r="M52" s="3">
        <v>45657</v>
      </c>
      <c r="N52" s="122">
        <v>36</v>
      </c>
      <c r="O52" s="3" t="s">
        <v>61</v>
      </c>
      <c r="P52" s="122">
        <v>10</v>
      </c>
      <c r="Q52" s="3">
        <v>48183</v>
      </c>
      <c r="R52" s="3">
        <v>45657</v>
      </c>
      <c r="S52" s="122">
        <v>36</v>
      </c>
      <c r="T52" s="5">
        <v>4.4999999999999998E-2</v>
      </c>
      <c r="U52" s="5">
        <v>5.6000000000000001E-2</v>
      </c>
      <c r="V52" t="s">
        <v>134</v>
      </c>
      <c r="W52" s="5">
        <v>4.5510066248739545E-3</v>
      </c>
      <c r="Y52" s="94">
        <v>130228</v>
      </c>
      <c r="Z52" s="94">
        <v>0</v>
      </c>
      <c r="AA52" s="94">
        <f t="shared" si="11"/>
        <v>130228</v>
      </c>
      <c r="AB52" s="94"/>
      <c r="AC52" s="94">
        <f t="shared" si="12"/>
        <v>130228</v>
      </c>
      <c r="AD52" s="94">
        <v>20000</v>
      </c>
      <c r="AE52" s="94">
        <v>0</v>
      </c>
      <c r="AF52" s="94">
        <v>0</v>
      </c>
      <c r="AG52" s="94">
        <f>NPV(W52,AC52:AC53)</f>
        <v>129638.0165279458</v>
      </c>
      <c r="AH52">
        <f t="shared" si="13"/>
        <v>1</v>
      </c>
      <c r="AI52" s="94">
        <f t="shared" si="14"/>
        <v>19819.194936634656</v>
      </c>
      <c r="AJ52" s="94">
        <f t="shared" si="15"/>
        <v>0</v>
      </c>
      <c r="AK52" s="94">
        <f t="shared" si="16"/>
        <v>0</v>
      </c>
      <c r="AL52" s="94">
        <f t="shared" si="25"/>
        <v>149457.21146458044</v>
      </c>
      <c r="AM52" s="94">
        <f t="shared" si="17"/>
        <v>680.1807595104932</v>
      </c>
      <c r="AN52" s="94">
        <f t="shared" si="18"/>
        <v>-130228</v>
      </c>
      <c r="AO52" s="94">
        <f t="shared" si="19"/>
        <v>0</v>
      </c>
      <c r="AP52" s="94">
        <f t="shared" si="20"/>
        <v>19909.392224090931</v>
      </c>
      <c r="AQ52" s="94">
        <v>0</v>
      </c>
      <c r="AR52" s="94">
        <v>0</v>
      </c>
      <c r="AS52" s="94">
        <v>0</v>
      </c>
      <c r="AT52" s="94">
        <f t="shared" si="26"/>
        <v>38789.205438244338</v>
      </c>
      <c r="AU52" s="94">
        <v>20000</v>
      </c>
      <c r="AV52" s="94"/>
      <c r="AW52" s="94">
        <f t="shared" si="21"/>
        <v>0</v>
      </c>
      <c r="AX52" s="94">
        <f t="shared" si="27"/>
        <v>0</v>
      </c>
      <c r="AY52">
        <f t="shared" si="22"/>
        <v>1</v>
      </c>
      <c r="AZ52" s="94">
        <f t="shared" si="23"/>
        <v>9394.6027191221692</v>
      </c>
      <c r="BA52" s="94">
        <f t="shared" si="24"/>
        <v>29394.602719122169</v>
      </c>
      <c r="BB52" t="s">
        <v>9</v>
      </c>
      <c r="BC52" t="s">
        <v>56</v>
      </c>
      <c r="BD52" s="9">
        <v>45167.517858796295</v>
      </c>
    </row>
    <row r="53" spans="1:56" x14ac:dyDescent="0.25">
      <c r="A53" s="11"/>
      <c r="B53" s="86" t="str">
        <f>"and then added to column " &amp; SUBSTITUTE(ADDRESS(1,COLUMN(AB16),4),"1","")</f>
        <v>and then added to column AB</v>
      </c>
      <c r="C53" s="23"/>
      <c r="D53" s="8"/>
      <c r="E53" s="122">
        <v>36</v>
      </c>
      <c r="F53" s="3">
        <v>45657</v>
      </c>
      <c r="G53" s="3">
        <v>44531</v>
      </c>
      <c r="H53" s="3">
        <v>45657</v>
      </c>
      <c r="I53" s="3" t="s">
        <v>61</v>
      </c>
      <c r="J53" s="3">
        <v>46387</v>
      </c>
      <c r="K53" s="3" t="s">
        <v>61</v>
      </c>
      <c r="L53" s="3">
        <v>45292</v>
      </c>
      <c r="M53" s="3">
        <v>45657</v>
      </c>
      <c r="N53" s="122">
        <v>36</v>
      </c>
      <c r="O53" s="3" t="s">
        <v>61</v>
      </c>
      <c r="P53" s="122">
        <v>10</v>
      </c>
      <c r="Q53" s="3">
        <v>48183</v>
      </c>
      <c r="R53" s="3">
        <v>45657</v>
      </c>
      <c r="S53" s="122">
        <v>36</v>
      </c>
      <c r="T53" s="5">
        <v>4.4999999999999998E-2</v>
      </c>
      <c r="U53" s="5">
        <v>5.6000000000000001E-2</v>
      </c>
      <c r="V53" t="s">
        <v>134</v>
      </c>
      <c r="W53" s="5">
        <v>4.5510066248739545E-3</v>
      </c>
      <c r="Y53" s="94">
        <v>0</v>
      </c>
      <c r="Z53" s="94">
        <v>0</v>
      </c>
      <c r="AA53" s="94">
        <f t="shared" si="11"/>
        <v>0</v>
      </c>
      <c r="AB53" s="94"/>
      <c r="AC53" s="94">
        <f t="shared" si="12"/>
        <v>0</v>
      </c>
      <c r="AD53" s="94">
        <v>20000</v>
      </c>
      <c r="AE53" s="94">
        <v>0</v>
      </c>
      <c r="AF53" s="94">
        <v>0</v>
      </c>
      <c r="AG53" s="94">
        <f>NPV(W53,AC53)</f>
        <v>0</v>
      </c>
      <c r="AH53">
        <f t="shared" si="13"/>
        <v>0</v>
      </c>
      <c r="AI53" s="94">
        <f t="shared" si="14"/>
        <v>19909.392224090949</v>
      </c>
      <c r="AJ53" s="94">
        <f t="shared" si="15"/>
        <v>0</v>
      </c>
      <c r="AK53" s="94">
        <f t="shared" si="16"/>
        <v>0</v>
      </c>
      <c r="AL53" s="94">
        <f t="shared" si="25"/>
        <v>19909.392224090931</v>
      </c>
      <c r="AM53" s="94">
        <f t="shared" si="17"/>
        <v>90.607775909051895</v>
      </c>
      <c r="AN53" s="94">
        <f t="shared" si="18"/>
        <v>0</v>
      </c>
      <c r="AO53" s="94">
        <f t="shared" si="19"/>
        <v>0</v>
      </c>
      <c r="AP53" s="94">
        <f t="shared" si="20"/>
        <v>19999.999999999982</v>
      </c>
      <c r="AQ53" s="94">
        <v>0</v>
      </c>
      <c r="AR53" s="94">
        <v>0</v>
      </c>
      <c r="AS53" s="94">
        <v>0</v>
      </c>
      <c r="AT53" s="94">
        <f t="shared" si="26"/>
        <v>29394.602719122169</v>
      </c>
      <c r="AU53" s="94">
        <v>20000</v>
      </c>
      <c r="AV53" s="94"/>
      <c r="AW53" s="94">
        <f t="shared" si="21"/>
        <v>0</v>
      </c>
      <c r="AX53" s="94">
        <f t="shared" si="27"/>
        <v>0</v>
      </c>
      <c r="AY53">
        <f t="shared" si="22"/>
        <v>0</v>
      </c>
      <c r="AZ53" s="94">
        <f t="shared" si="23"/>
        <v>9394.6027191221692</v>
      </c>
      <c r="BA53" s="94">
        <f t="shared" si="24"/>
        <v>20000</v>
      </c>
      <c r="BB53" t="s">
        <v>9</v>
      </c>
      <c r="BC53" t="s">
        <v>56</v>
      </c>
      <c r="BD53" s="9">
        <v>45167.517858796295</v>
      </c>
    </row>
    <row r="54" spans="1:56" x14ac:dyDescent="0.25">
      <c r="A54" s="11"/>
      <c r="B54" s="22"/>
      <c r="C54" s="23"/>
    </row>
    <row r="55" spans="1:56" x14ac:dyDescent="0.25">
      <c r="A55" s="11"/>
      <c r="B55" s="22" t="s">
        <v>17</v>
      </c>
      <c r="C55" s="35">
        <v>4.4999999999999998E-2</v>
      </c>
    </row>
    <row r="56" spans="1:56" x14ac:dyDescent="0.25">
      <c r="A56" s="11"/>
      <c r="B56" s="22" t="s">
        <v>18</v>
      </c>
      <c r="C56" s="35">
        <v>5.6000000000000001E-2</v>
      </c>
    </row>
    <row r="57" spans="1:56" x14ac:dyDescent="0.25">
      <c r="A57" s="11"/>
      <c r="B57" s="22" t="s">
        <v>44</v>
      </c>
      <c r="C57" s="25" t="s">
        <v>134</v>
      </c>
    </row>
    <row r="58" spans="1:56" x14ac:dyDescent="0.25">
      <c r="A58" s="11"/>
      <c r="B58" s="22" t="s">
        <v>62</v>
      </c>
      <c r="C58" s="36">
        <f>IF(ISNUMBER(SEARCH("IRIL",C57)),Rate_IRIL,Rate_IBR)</f>
        <v>5.6000000000000001E-2</v>
      </c>
    </row>
    <row r="59" spans="1:56" x14ac:dyDescent="0.25">
      <c r="A59" s="11"/>
      <c r="B59" s="22" t="s">
        <v>131</v>
      </c>
      <c r="C59" s="114" t="s">
        <v>135</v>
      </c>
    </row>
    <row r="60" spans="1:56" x14ac:dyDescent="0.25">
      <c r="A60" s="11"/>
      <c r="B60" s="22" t="s">
        <v>136</v>
      </c>
      <c r="C60" s="116" t="s">
        <v>137</v>
      </c>
    </row>
    <row r="61" spans="1:56" x14ac:dyDescent="0.25">
      <c r="A61" s="11"/>
      <c r="B61" s="16" t="s">
        <v>132</v>
      </c>
      <c r="C61" s="36">
        <f>+IF(C59="Annual",IF(C60="Simple",C58/12,(1+C58)^(1/12)-1),C58)</f>
        <v>4.5510066248739545E-3</v>
      </c>
      <c r="E61" s="115"/>
    </row>
    <row r="62" spans="1:56" x14ac:dyDescent="0.25">
      <c r="A62" s="11"/>
      <c r="B62" s="22"/>
      <c r="C62" s="23"/>
      <c r="E62" s="115"/>
    </row>
    <row r="63" spans="1:56" x14ac:dyDescent="0.25">
      <c r="A63" s="11"/>
      <c r="B63" s="22" t="s">
        <v>97</v>
      </c>
      <c r="C63" s="77">
        <v>20000</v>
      </c>
    </row>
    <row r="64" spans="1:56" x14ac:dyDescent="0.25">
      <c r="A64" s="11"/>
      <c r="B64" s="22" t="s">
        <v>104</v>
      </c>
      <c r="C64" s="37"/>
    </row>
    <row r="65" spans="1:3" x14ac:dyDescent="0.25">
      <c r="A65" s="11"/>
      <c r="B65" s="22" t="s">
        <v>105</v>
      </c>
      <c r="C65" s="37"/>
    </row>
    <row r="66" spans="1:3" x14ac:dyDescent="0.25">
      <c r="A66" s="11"/>
      <c r="B66" s="22"/>
      <c r="C66" s="23"/>
    </row>
    <row r="67" spans="1:3" x14ac:dyDescent="0.25">
      <c r="A67" s="11"/>
      <c r="B67" s="27" t="s">
        <v>22</v>
      </c>
      <c r="C67" s="28"/>
    </row>
    <row r="68" spans="1:3" x14ac:dyDescent="0.25">
      <c r="A68" s="11"/>
      <c r="B68" s="22" t="s">
        <v>106</v>
      </c>
      <c r="C68" s="37">
        <v>0</v>
      </c>
    </row>
    <row r="69" spans="1:3" x14ac:dyDescent="0.25">
      <c r="A69" s="11"/>
      <c r="B69" s="22" t="s">
        <v>107</v>
      </c>
      <c r="C69" s="37"/>
    </row>
    <row r="70" spans="1:3" x14ac:dyDescent="0.25">
      <c r="A70" s="11"/>
      <c r="B70" s="22" t="s">
        <v>108</v>
      </c>
      <c r="C70" s="37"/>
    </row>
    <row r="71" spans="1:3" ht="15.75" thickBot="1" x14ac:dyDescent="0.3">
      <c r="B71" s="19" t="s">
        <v>98</v>
      </c>
      <c r="C71" s="78">
        <f>+residualValueGuarantees</f>
        <v>20000</v>
      </c>
    </row>
    <row r="72" spans="1:3" ht="16.5" thickTop="1" thickBot="1" x14ac:dyDescent="0.3"/>
    <row r="73" spans="1:3" ht="14.45" customHeight="1" thickTop="1" x14ac:dyDescent="0.25">
      <c r="B73" s="82"/>
      <c r="C73" s="14"/>
    </row>
    <row r="74" spans="1:3" ht="14.45" customHeight="1" x14ac:dyDescent="0.25">
      <c r="B74" s="84"/>
      <c r="C74" s="23"/>
    </row>
    <row r="75" spans="1:3" x14ac:dyDescent="0.25">
      <c r="B75" s="22"/>
      <c r="C75" s="23"/>
    </row>
    <row r="76" spans="1:3" ht="15.75" thickBot="1" x14ac:dyDescent="0.3">
      <c r="B76" s="19"/>
      <c r="C76" s="83"/>
    </row>
    <row r="77" spans="1:3" ht="16.5" thickTop="1" thickBot="1" x14ac:dyDescent="0.3"/>
    <row r="78" spans="1:3" ht="21.75" thickTop="1" x14ac:dyDescent="0.35">
      <c r="B78" s="12" t="s">
        <v>144</v>
      </c>
      <c r="C78" s="14"/>
    </row>
    <row r="79" spans="1:3" x14ac:dyDescent="0.25">
      <c r="B79" s="22"/>
      <c r="C79" s="23"/>
    </row>
    <row r="80" spans="1:3" x14ac:dyDescent="0.25">
      <c r="B80" s="22" t="s">
        <v>141</v>
      </c>
      <c r="C80" s="25" t="s">
        <v>140</v>
      </c>
    </row>
    <row r="81" spans="2:3" x14ac:dyDescent="0.25">
      <c r="B81" s="22"/>
      <c r="C81" s="23"/>
    </row>
    <row r="82" spans="2:3" x14ac:dyDescent="0.25">
      <c r="B82" s="86" t="str">
        <f>"Note: (1) Variable payments should be added as a second step after running section 1"</f>
        <v>Note: (1) Variable payments should be added as a second step after running section 1</v>
      </c>
      <c r="C82" s="23"/>
    </row>
    <row r="83" spans="2:3" x14ac:dyDescent="0.25">
      <c r="B83" s="86" t="str">
        <f>"(i.e. when the table in section 2 is updated)."</f>
        <v>(i.e. when the table in section 2 is updated).</v>
      </c>
      <c r="C83" s="23"/>
    </row>
    <row r="84" spans="2:3" x14ac:dyDescent="0.25">
      <c r="B84" s="86" t="str">
        <f>"(2) Variable payments are dependent on the assessment type selected in cell "&amp;ADDRESS(ROW(A1), COLUMN(A1), 4)</f>
        <v>(2) Variable payments are dependent on the assessment type selected in cell A1</v>
      </c>
      <c r="C84" s="23"/>
    </row>
    <row r="85" spans="2:3" x14ac:dyDescent="0.25">
      <c r="B85" s="86" t="s">
        <v>155</v>
      </c>
      <c r="C85" s="23"/>
    </row>
    <row r="86" spans="2:3" x14ac:dyDescent="0.25">
      <c r="B86" s="22"/>
      <c r="C86" s="23"/>
    </row>
    <row r="87" spans="2:3" x14ac:dyDescent="0.25">
      <c r="B87" s="27" t="s">
        <v>142</v>
      </c>
      <c r="C87" s="28"/>
    </row>
    <row r="88" spans="2:3" x14ac:dyDescent="0.25">
      <c r="B88" s="22" t="s">
        <v>145</v>
      </c>
      <c r="C88" s="25" t="s">
        <v>139</v>
      </c>
    </row>
    <row r="89" spans="2:3" x14ac:dyDescent="0.25">
      <c r="B89" s="118" t="s">
        <v>146</v>
      </c>
      <c r="C89" s="33">
        <v>120000</v>
      </c>
    </row>
    <row r="90" spans="2:3" x14ac:dyDescent="0.25">
      <c r="B90" s="22" t="s">
        <v>147</v>
      </c>
      <c r="C90" s="26">
        <v>44592</v>
      </c>
    </row>
    <row r="91" spans="2:3" x14ac:dyDescent="0.25">
      <c r="B91" s="22"/>
      <c r="C91" s="23"/>
    </row>
    <row r="92" spans="2:3" x14ac:dyDescent="0.25">
      <c r="B92" s="22" t="s">
        <v>148</v>
      </c>
      <c r="C92" s="25" t="s">
        <v>139</v>
      </c>
    </row>
    <row r="93" spans="2:3" x14ac:dyDescent="0.25">
      <c r="B93" s="22" t="s">
        <v>149</v>
      </c>
      <c r="C93" s="119">
        <v>4.4999999999999998E-2</v>
      </c>
    </row>
    <row r="94" spans="2:3" x14ac:dyDescent="0.25">
      <c r="B94" s="22" t="s">
        <v>150</v>
      </c>
      <c r="C94" s="26">
        <v>44957</v>
      </c>
    </row>
    <row r="95" spans="2:3" x14ac:dyDescent="0.25">
      <c r="B95" s="22"/>
      <c r="C95" s="23"/>
    </row>
    <row r="96" spans="2:3" x14ac:dyDescent="0.25">
      <c r="B96" s="27" t="s">
        <v>143</v>
      </c>
      <c r="C96" s="28"/>
    </row>
    <row r="97" spans="2:3" x14ac:dyDescent="0.25">
      <c r="B97" s="22" t="s">
        <v>145</v>
      </c>
      <c r="C97" s="25" t="s">
        <v>139</v>
      </c>
    </row>
    <row r="98" spans="2:3" x14ac:dyDescent="0.25">
      <c r="B98" s="118" t="s">
        <v>146</v>
      </c>
      <c r="C98" s="33">
        <v>130228</v>
      </c>
    </row>
    <row r="99" spans="2:3" x14ac:dyDescent="0.25">
      <c r="B99" s="22" t="s">
        <v>147</v>
      </c>
      <c r="C99" s="26">
        <v>44592</v>
      </c>
    </row>
    <row r="100" spans="2:3" x14ac:dyDescent="0.25">
      <c r="B100" s="22" t="s">
        <v>151</v>
      </c>
      <c r="C100" s="120">
        <v>200</v>
      </c>
    </row>
    <row r="101" spans="2:3" x14ac:dyDescent="0.25">
      <c r="B101" s="22"/>
      <c r="C101" s="23"/>
    </row>
    <row r="102" spans="2:3" x14ac:dyDescent="0.25">
      <c r="B102" s="22" t="s">
        <v>152</v>
      </c>
      <c r="C102" s="26">
        <v>44957</v>
      </c>
    </row>
    <row r="103" spans="2:3" ht="15.75" thickBot="1" x14ac:dyDescent="0.3">
      <c r="B103" s="19" t="s">
        <v>153</v>
      </c>
      <c r="C103" s="121">
        <v>120</v>
      </c>
    </row>
    <row r="104" spans="2:3" ht="16.5" thickTop="1" thickBot="1" x14ac:dyDescent="0.3"/>
    <row r="105" spans="2:3" ht="16.5" thickTop="1" x14ac:dyDescent="0.25">
      <c r="B105" s="82"/>
      <c r="C105" s="14"/>
    </row>
    <row r="106" spans="2:3" ht="15.75" x14ac:dyDescent="0.25">
      <c r="B106" s="84"/>
      <c r="C106" s="23"/>
    </row>
    <row r="107" spans="2:3" x14ac:dyDescent="0.25">
      <c r="B107" s="22"/>
      <c r="C107" s="23"/>
    </row>
    <row r="108" spans="2:3" ht="15.75" thickBot="1" x14ac:dyDescent="0.3">
      <c r="B108" s="19"/>
      <c r="C108" s="83"/>
    </row>
    <row r="109" spans="2:3" ht="15.75" thickTop="1" x14ac:dyDescent="0.25"/>
  </sheetData>
  <conditionalFormatting sqref="AK8">
    <cfRule type="cellIs" dxfId="1" priority="1" operator="equal">
      <formula>0</formula>
    </cfRule>
  </conditionalFormatting>
  <dataValidations disablePrompts="1" count="8">
    <dataValidation type="list" allowBlank="1" showInputMessage="1" showErrorMessage="1" sqref="C18">
      <formula1>"Initial assessment,Reassessment"</formula1>
    </dataValidation>
    <dataValidation type="date" allowBlank="1" showInputMessage="1" showErrorMessage="1" sqref="C19">
      <formula1>C24</formula1>
      <formula2>C31</formula2>
    </dataValidation>
    <dataValidation type="list" allowBlank="1" showInputMessage="1" showErrorMessage="1" sqref="C27 C30 C38 C10">
      <formula1>"Yes,No"</formula1>
    </dataValidation>
    <dataValidation type="list" allowBlank="1" showInputMessage="1" showErrorMessage="1" sqref="C47 C88 C92 C97">
      <formula1>"Monthly,Quarterly,Semi-annually,Annually"</formula1>
    </dataValidation>
    <dataValidation type="list" allowBlank="1" showInputMessage="1" showErrorMessage="1" sqref="C57">
      <formula1>"Implicit (IRIL),Incremental (IBR)"</formula1>
    </dataValidation>
    <dataValidation type="list" allowBlank="1" showInputMessage="1" showErrorMessage="1" sqref="C59">
      <formula1>"Annual,Monthly"</formula1>
    </dataValidation>
    <dataValidation type="list" allowBlank="1" showInputMessage="1" showErrorMessage="1" sqref="C60">
      <formula1>"Simple,12th root"</formula1>
    </dataValidation>
    <dataValidation type="list" allowBlank="1" showInputMessage="1" showErrorMessage="1" sqref="C80">
      <formula1>"No,Rate,Index"</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52" r:id="rId4" name="Button 8">
              <controlPr defaultSize="0" print="0" autoFill="0" autoPict="0" macro="[0]!RunAssessment">
                <anchor moveWithCells="1" sizeWithCells="1">
                  <from>
                    <xdr:col>1</xdr:col>
                    <xdr:colOff>2543175</xdr:colOff>
                    <xdr:row>72</xdr:row>
                    <xdr:rowOff>142875</xdr:rowOff>
                  </from>
                  <to>
                    <xdr:col>2</xdr:col>
                    <xdr:colOff>1019175</xdr:colOff>
                    <xdr:row>75</xdr:row>
                    <xdr:rowOff>66675</xdr:rowOff>
                  </to>
                </anchor>
              </controlPr>
            </control>
          </mc:Choice>
        </mc:AlternateContent>
        <mc:AlternateContent xmlns:mc="http://schemas.openxmlformats.org/markup-compatibility/2006">
          <mc:Choice Requires="x14">
            <control shapeId="6194" r:id="rId5" name="Button 50">
              <controlPr defaultSize="0" print="0" autoFill="0" autoPict="0" macro="[0]!GoToSummary">
                <anchor moveWithCells="1" sizeWithCells="1">
                  <from>
                    <xdr:col>2</xdr:col>
                    <xdr:colOff>57150</xdr:colOff>
                    <xdr:row>0</xdr:row>
                    <xdr:rowOff>171450</xdr:rowOff>
                  </from>
                  <to>
                    <xdr:col>3</xdr:col>
                    <xdr:colOff>209550</xdr:colOff>
                    <xdr:row>2</xdr:row>
                    <xdr:rowOff>38100</xdr:rowOff>
                  </to>
                </anchor>
              </controlPr>
            </control>
          </mc:Choice>
        </mc:AlternateContent>
        <mc:AlternateContent xmlns:mc="http://schemas.openxmlformats.org/markup-compatibility/2006">
          <mc:Choice Requires="x14">
            <control shapeId="6197" r:id="rId6" name="Button 53">
              <controlPr defaultSize="0" print="0" autoFill="0" autoPict="0" macro="[0]!SelectVariablePayment">
                <anchor moveWithCells="1" sizeWithCells="1">
                  <from>
                    <xdr:col>1</xdr:col>
                    <xdr:colOff>2695575</xdr:colOff>
                    <xdr:row>104</xdr:row>
                    <xdr:rowOff>133350</xdr:rowOff>
                  </from>
                  <to>
                    <xdr:col>2</xdr:col>
                    <xdr:colOff>1238250</xdr:colOff>
                    <xdr:row>107</xdr:row>
                    <xdr:rowOff>57150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2:BJ109"/>
  <sheetViews>
    <sheetView tabSelected="1" zoomScale="81" zoomScaleNormal="100" workbookViewId="0">
      <selection activeCell="AJ2" sqref="AJ2"/>
    </sheetView>
  </sheetViews>
  <sheetFormatPr defaultRowHeight="15" x14ac:dyDescent="0.25"/>
  <cols>
    <col min="1" max="1" width="4" customWidth="1"/>
    <col min="2" max="2" width="49.85546875" customWidth="1"/>
    <col min="3" max="3" width="22.28515625" customWidth="1"/>
    <col min="4" max="4" width="5.5703125" customWidth="1"/>
    <col min="5" max="5" width="13.85546875" customWidth="1"/>
    <col min="6" max="6" width="15" customWidth="1"/>
    <col min="7" max="7" width="12.7109375" bestFit="1" customWidth="1"/>
    <col min="8" max="8" width="20.5703125" bestFit="1" customWidth="1"/>
    <col min="9" max="9" width="11" customWidth="1"/>
    <col min="10" max="10" width="11.42578125" customWidth="1"/>
    <col min="11" max="12" width="11" customWidth="1"/>
    <col min="13" max="13" width="12" customWidth="1"/>
    <col min="14" max="14" width="11.42578125" bestFit="1" customWidth="1"/>
    <col min="15" max="15" width="12.28515625" customWidth="1"/>
    <col min="16" max="16" width="12.7109375" customWidth="1"/>
    <col min="17" max="17" width="12.85546875" customWidth="1"/>
    <col min="18" max="18" width="14.28515625" customWidth="1"/>
    <col min="19" max="24" width="11" customWidth="1"/>
    <col min="25" max="25" width="12.7109375" customWidth="1"/>
    <col min="26" max="26" width="11" customWidth="1"/>
    <col min="27" max="27" width="12.42578125" customWidth="1"/>
    <col min="28" max="28" width="13.140625" customWidth="1"/>
    <col min="29" max="29" width="11.5703125" customWidth="1"/>
    <col min="30" max="30" width="12.140625" customWidth="1"/>
    <col min="31" max="31" width="12.85546875" customWidth="1"/>
    <col min="32" max="32" width="11.7109375" customWidth="1"/>
    <col min="33" max="33" width="18.5703125" customWidth="1"/>
    <col min="34" max="34" width="12.7109375" customWidth="1"/>
    <col min="35" max="37" width="11" customWidth="1"/>
    <col min="38" max="38" width="13.28515625" customWidth="1"/>
    <col min="39" max="39" width="11" customWidth="1"/>
    <col min="40" max="40" width="14.7109375" customWidth="1"/>
    <col min="41" max="41" width="15.85546875" customWidth="1"/>
    <col min="42" max="42" width="15.5703125" customWidth="1"/>
    <col min="43" max="45" width="15.85546875" customWidth="1"/>
    <col min="46" max="46" width="12.28515625" bestFit="1" customWidth="1"/>
    <col min="47" max="47" width="11.7109375" customWidth="1"/>
    <col min="48" max="48" width="12" customWidth="1"/>
    <col min="49" max="50" width="12.140625" customWidth="1"/>
    <col min="51" max="51" width="13.28515625" customWidth="1"/>
    <col min="52" max="52" width="14.42578125" customWidth="1"/>
    <col min="53" max="53" width="12.7109375" customWidth="1"/>
    <col min="54" max="54" width="18.7109375" customWidth="1"/>
    <col min="55" max="55" width="14.42578125" bestFit="1" customWidth="1"/>
    <col min="56" max="56" width="23.7109375" bestFit="1" customWidth="1"/>
    <col min="57" max="57" width="15.42578125" customWidth="1"/>
    <col min="58" max="58" width="11.7109375" customWidth="1"/>
    <col min="59" max="59" width="11.85546875" bestFit="1" customWidth="1"/>
    <col min="60" max="60" width="14.5703125" bestFit="1" customWidth="1"/>
    <col min="61" max="61" width="11.28515625" bestFit="1" customWidth="1"/>
    <col min="62" max="62" width="12.85546875" bestFit="1" customWidth="1"/>
  </cols>
  <sheetData>
    <row r="2" spans="1:57" ht="28.5" x14ac:dyDescent="0.45">
      <c r="B2" s="7" t="str">
        <f>C7&amp;" -  "&amp;C8</f>
        <v>Test agreement -  Car</v>
      </c>
      <c r="AG2">
        <v>352303.4149154172</v>
      </c>
      <c r="AH2">
        <v>1603.3351752457813</v>
      </c>
      <c r="AI2">
        <v>353906.75009066297</v>
      </c>
      <c r="AJ2">
        <v>353937.57018965372</v>
      </c>
      <c r="AK2">
        <v>30.820098990749099</v>
      </c>
    </row>
    <row r="3" spans="1:57" ht="15.75" thickBot="1" x14ac:dyDescent="0.3">
      <c r="F3" s="6"/>
      <c r="Q3" s="6"/>
    </row>
    <row r="4" spans="1:57" ht="21.75" thickTop="1" x14ac:dyDescent="0.35">
      <c r="B4" s="12" t="s">
        <v>91</v>
      </c>
      <c r="C4" s="14"/>
      <c r="E4" s="12" t="s">
        <v>102</v>
      </c>
      <c r="F4" s="13"/>
      <c r="G4" s="13"/>
      <c r="H4" s="13"/>
      <c r="I4" s="13"/>
      <c r="J4" s="13"/>
      <c r="K4" s="13"/>
      <c r="L4" s="13"/>
      <c r="M4" s="13"/>
      <c r="N4" s="13"/>
      <c r="O4" s="13"/>
      <c r="P4" s="13"/>
      <c r="Q4" s="13"/>
      <c r="R4" s="13"/>
      <c r="S4" s="13"/>
      <c r="T4" s="13"/>
      <c r="U4" s="13"/>
      <c r="V4" s="13"/>
      <c r="W4" s="13"/>
      <c r="X4" s="13"/>
      <c r="Y4" s="13"/>
      <c r="Z4" s="13"/>
      <c r="AA4" s="13"/>
      <c r="AB4" s="13"/>
      <c r="AC4" s="13"/>
      <c r="AD4" s="13"/>
      <c r="AE4" s="13"/>
      <c r="AF4" s="13"/>
      <c r="AG4" s="13"/>
      <c r="AH4" s="13"/>
      <c r="AI4" s="13"/>
      <c r="AJ4" s="13"/>
      <c r="AK4" s="13"/>
      <c r="AL4" s="13"/>
      <c r="AM4" s="13"/>
      <c r="AN4" s="13"/>
      <c r="AO4" s="13"/>
      <c r="AP4" s="14"/>
    </row>
    <row r="5" spans="1:57" x14ac:dyDescent="0.25">
      <c r="B5" s="22"/>
      <c r="C5" s="23"/>
      <c r="E5" s="22"/>
      <c r="AO5" s="3">
        <f>+EDATE(F8,12)</f>
        <v>46387</v>
      </c>
      <c r="AP5" s="17">
        <f>+EDATE(F8,12*5)</f>
        <v>47848</v>
      </c>
    </row>
    <row r="6" spans="1:57" ht="17.25" x14ac:dyDescent="0.4">
      <c r="A6" s="10"/>
      <c r="B6" s="27" t="s">
        <v>5</v>
      </c>
      <c r="C6" s="28"/>
      <c r="E6" s="64" t="s">
        <v>94</v>
      </c>
      <c r="F6" s="65"/>
      <c r="H6" s="66" t="s">
        <v>128</v>
      </c>
      <c r="I6" s="66"/>
      <c r="J6" s="66"/>
      <c r="L6" s="66" t="s">
        <v>74</v>
      </c>
      <c r="M6" s="65"/>
      <c r="N6" s="65"/>
      <c r="O6" s="65"/>
      <c r="Q6" s="66" t="s">
        <v>86</v>
      </c>
      <c r="R6" s="65"/>
      <c r="S6" s="65"/>
      <c r="T6" s="65"/>
      <c r="U6" s="66"/>
      <c r="V6" s="65"/>
      <c r="W6" s="65"/>
      <c r="X6" s="65"/>
      <c r="Y6" s="65"/>
      <c r="Z6" s="65"/>
      <c r="AB6" s="66" t="s">
        <v>90</v>
      </c>
      <c r="AC6" s="65"/>
      <c r="AD6" s="66"/>
      <c r="AE6" s="65"/>
      <c r="AF6" s="65"/>
      <c r="AG6" s="65"/>
      <c r="AI6" s="66" t="s">
        <v>87</v>
      </c>
      <c r="AJ6" s="65"/>
      <c r="AK6" s="65"/>
      <c r="AM6" s="66" t="s">
        <v>75</v>
      </c>
      <c r="AN6" s="65"/>
      <c r="AO6" s="65"/>
      <c r="AP6" s="76"/>
    </row>
    <row r="7" spans="1:57" ht="17.25" x14ac:dyDescent="0.4">
      <c r="A7" s="11"/>
      <c r="B7" s="22" t="s">
        <v>13</v>
      </c>
      <c r="C7" s="25" t="s">
        <v>130</v>
      </c>
      <c r="E7" s="27" t="s">
        <v>64</v>
      </c>
      <c r="F7" s="15" t="s">
        <v>65</v>
      </c>
      <c r="H7" s="15" t="s">
        <v>66</v>
      </c>
      <c r="I7" s="15" t="s">
        <v>6</v>
      </c>
      <c r="J7" s="15" t="s">
        <v>67</v>
      </c>
      <c r="L7" s="47" t="s">
        <v>70</v>
      </c>
      <c r="M7" s="47" t="s">
        <v>71</v>
      </c>
      <c r="N7" s="47" t="s">
        <v>72</v>
      </c>
      <c r="O7" s="15" t="s">
        <v>73</v>
      </c>
      <c r="Q7" s="67" t="s">
        <v>84</v>
      </c>
      <c r="R7" s="67"/>
      <c r="S7" s="67"/>
      <c r="T7" s="67"/>
      <c r="U7" s="67" t="s">
        <v>85</v>
      </c>
      <c r="V7" s="67"/>
      <c r="W7" s="67"/>
      <c r="X7" s="67"/>
      <c r="Y7" s="67"/>
      <c r="Z7" s="67"/>
      <c r="AB7" s="67" t="s">
        <v>84</v>
      </c>
      <c r="AC7" s="67"/>
      <c r="AD7" s="67" t="s">
        <v>85</v>
      </c>
      <c r="AE7" s="67"/>
      <c r="AF7" s="67"/>
      <c r="AG7" s="67"/>
      <c r="AI7" s="15" t="s">
        <v>95</v>
      </c>
      <c r="AJ7" s="15" t="s">
        <v>96</v>
      </c>
      <c r="AK7" s="49" t="s">
        <v>88</v>
      </c>
      <c r="AM7" s="15" t="s">
        <v>82</v>
      </c>
      <c r="AN7" s="50" t="s">
        <v>68</v>
      </c>
      <c r="AO7" s="50" t="s">
        <v>76</v>
      </c>
      <c r="AP7" s="51" t="s">
        <v>69</v>
      </c>
    </row>
    <row r="8" spans="1:57" x14ac:dyDescent="0.25">
      <c r="A8" s="11"/>
      <c r="B8" s="22" t="s">
        <v>14</v>
      </c>
      <c r="C8" s="25" t="s">
        <v>39</v>
      </c>
      <c r="E8" s="43">
        <f>+Summary!C4</f>
        <v>45658</v>
      </c>
      <c r="F8" s="44">
        <f>+Summary!C5</f>
        <v>46022</v>
      </c>
      <c r="H8" s="3" t="e">
        <f ca="1">+_xlfn.XLOOKUP(F8,$F$17:$F$1048576,$G$17:$G$1048576,"Not found")</f>
        <v>#NAME?</v>
      </c>
      <c r="I8" s="3" t="e">
        <f ca="1">+_xlfn.XLOOKUP(F8,$F$17:$F$1048576,$M$17:$M$1048576,"Not found")</f>
        <v>#NAME?</v>
      </c>
      <c r="J8" s="3" t="e">
        <f ca="1">+_xlfn.XLOOKUP(F8,$F$17:$F$1048576,$R$17:$R$1048576,"Not found")</f>
        <v>#NAME?</v>
      </c>
      <c r="L8" s="45">
        <f>+SUMIFS($AC$17:$AC$1048576,$F$17:$F$1048576,"&gt;"&amp;E8,$F$17:$F$1048576,"&lt;="&amp;F8)</f>
        <v>150000</v>
      </c>
      <c r="M8" s="45">
        <f>+SUMIFS($AM$17:$AM$1048576,$F$17:$F$1048576,"&gt;"&amp;E8,$F$17:$F$1048576,"&lt;="&amp;F8)</f>
        <v>52045.942781423175</v>
      </c>
      <c r="N8" s="45">
        <f>-(SUMIFS($AN$17:$AN$1048576,$F$17:$F$1048576,"&gt;"&amp;E8,$F$17:$F$1048576,"&lt;="&amp;F8)+M8)</f>
        <v>97954.057218576825</v>
      </c>
      <c r="O8" s="45">
        <f>+SUMIFS($AZ$17:$AZ$1048576,$F$17:$F$1048576,"&gt;"&amp;E8,$F$17:$F$1048576,"&lt;="&amp;F8)</f>
        <v>121604.06299787603</v>
      </c>
      <c r="P8" s="18"/>
      <c r="Q8" s="49" t="s">
        <v>83</v>
      </c>
      <c r="R8" s="1" t="s">
        <v>78</v>
      </c>
      <c r="S8" s="1" t="s">
        <v>79</v>
      </c>
      <c r="T8" s="1" t="s">
        <v>81</v>
      </c>
      <c r="U8" s="48" t="s">
        <v>80</v>
      </c>
      <c r="V8" s="1" t="s">
        <v>109</v>
      </c>
      <c r="W8" s="1" t="s">
        <v>78</v>
      </c>
      <c r="X8" s="1" t="s">
        <v>79</v>
      </c>
      <c r="Y8" s="1" t="s">
        <v>81</v>
      </c>
      <c r="Z8" s="48" t="s">
        <v>82</v>
      </c>
      <c r="AB8" s="1" t="s">
        <v>73</v>
      </c>
      <c r="AC8" s="1" t="s">
        <v>81</v>
      </c>
      <c r="AD8" s="48" t="s">
        <v>80</v>
      </c>
      <c r="AE8" s="1" t="s">
        <v>73</v>
      </c>
      <c r="AF8" s="1" t="s">
        <v>81</v>
      </c>
      <c r="AG8" s="48" t="s">
        <v>82</v>
      </c>
      <c r="AI8" s="54" t="e">
        <f ca="1">+Z9-AG9</f>
        <v>#NAME?</v>
      </c>
      <c r="AJ8" t="e">
        <f ca="1">+_xlfn.XLOOKUP($F$8,$F$17:$F$1048576,BA17:BA1048576,0)</f>
        <v>#NAME?</v>
      </c>
      <c r="AK8" s="75" t="e">
        <f ca="1">+AI8-AJ8</f>
        <v>#NAME?</v>
      </c>
      <c r="AM8" s="18" t="e">
        <f ca="1">+_xlfn.XLOOKUP($F$8,$F$17:$F$1048576,AP17:AP1048576,0)</f>
        <v>#NAME?</v>
      </c>
      <c r="AN8" s="18" t="e">
        <f ca="1">+AM8-SUM(AO8:AP8)</f>
        <v>#NAME?</v>
      </c>
      <c r="AO8" s="18" t="e">
        <f ca="1">+_xlfn.XLOOKUP($AO$5,$F$17:$F$1048576,AP17:AP1048576,0)-AP8</f>
        <v>#NAME?</v>
      </c>
      <c r="AP8" s="52" t="e">
        <f ca="1">+_xlfn.XLOOKUP($AP$5,$F$17:$F$1048576,AP17:AP1048576,0)</f>
        <v>#NAME?</v>
      </c>
      <c r="AX8" s="6"/>
      <c r="AY8" s="6"/>
    </row>
    <row r="9" spans="1:57" ht="15.75" thickBot="1" x14ac:dyDescent="0.3">
      <c r="A9" s="11"/>
      <c r="B9" s="22" t="s">
        <v>40</v>
      </c>
      <c r="C9" s="25"/>
      <c r="E9" s="19"/>
      <c r="F9" s="20"/>
      <c r="G9" s="20"/>
      <c r="H9" s="20"/>
      <c r="I9" s="20"/>
      <c r="J9" s="20"/>
      <c r="K9" s="20"/>
      <c r="L9" s="20"/>
      <c r="M9" s="20"/>
      <c r="N9" s="20"/>
      <c r="O9" s="20"/>
      <c r="P9" s="20"/>
      <c r="Q9" s="21">
        <f>+IF(G17&lt;=E8,AT17,0)</f>
        <v>0</v>
      </c>
      <c r="R9" s="46">
        <f>-SUMIFS($AV$17:$AV$1048576,$F$17:$F$1048576,"&lt;"&amp;E8)</f>
        <v>0</v>
      </c>
      <c r="S9" s="46">
        <f>+SUMIFS($AW$17:$AW$1048576,$F$17:$F$1048576,"&lt;"&amp;E8)+SUMIFS($AX$17:$AX$1048576,$F$17:$F$1048576,"&lt;"&amp;E8)</f>
        <v>0</v>
      </c>
      <c r="T9" s="46" t="e">
        <f ca="1">IF(_xlfn.MINIFS($BA$17:$BA$1048576,$F$17:$F$1048576,"&lt;"&amp;E8)=0,-SUM(Q9:S9),0)</f>
        <v>#NAME?</v>
      </c>
      <c r="U9" s="21" t="e">
        <f ca="1">+Q9+R9+S9+T9</f>
        <v>#NAME?</v>
      </c>
      <c r="V9" s="46">
        <f>+IF(Q9=0,AT17,0)</f>
        <v>5958599.086895925</v>
      </c>
      <c r="W9" s="46">
        <f>-SUMIFS($AV$17:$AV$1048576,$F$17:$F$1048576,"&gt;"&amp;E8,$F$17:$F$1048576,"&lt;="&amp;F8)</f>
        <v>0</v>
      </c>
      <c r="X9" s="46">
        <f>-SUMIFS($AW$17:$AW$1048576,$F$17:$F$1048576,"&gt;"&amp;E8,$F$17:$F$1048576,"&lt;="&amp;F8)-SUMIFS($AX$17:$AX$1048576,$F$17:$F$1048576,"&gt;"&amp;E8,$F$17:$F$1048576,"&lt;="&amp;F8)</f>
        <v>0</v>
      </c>
      <c r="Y9" s="46" t="e">
        <f ca="1">IF(_xlfn.MINIFS($BA$17:$BA$1048576,$F$17:$F$1048576,"&gt;="&amp;E8,$F$17:$F$1048576,"&lt;="&amp;F8)=0,-SUM(U9:X9),0)</f>
        <v>#NAME?</v>
      </c>
      <c r="Z9" s="21" t="e">
        <f ca="1">+U9+V9+W9+X9+Y9</f>
        <v>#NAME?</v>
      </c>
      <c r="AA9" s="20"/>
      <c r="AB9" s="46">
        <f>SUMIFS($AZ$17:$AZ$1048576,$F$17:$F$1048576,"&lt;"&amp;E8)</f>
        <v>0</v>
      </c>
      <c r="AC9" s="46" t="e">
        <f ca="1">IF(_xlfn.MINIFS($BA$17:$BA$1048576,$F$17:$F$1048576,"&lt;"&amp;E8)=0,-AB9,0)</f>
        <v>#NAME?</v>
      </c>
      <c r="AD9" s="21" t="e">
        <f ca="1">AB9+AC9</f>
        <v>#NAME?</v>
      </c>
      <c r="AE9" s="46">
        <f>SUMIFS($AZ$17:$AZ$1048576,$F$17:$F$1048576,"&gt;"&amp;E8,$F$17:$F$1048576,"&lt;="&amp;F8)</f>
        <v>121604.06299787603</v>
      </c>
      <c r="AF9" s="46" t="e">
        <f ca="1">IF(_xlfn.MINIFS($BA$17:$BA$1048576,$F$17:$F$1048576,"&gt;="&amp;E8,$F$17:$F$1048576,"&lt;="&amp;F8)=0,-SUM(AD9:AE9),0)</f>
        <v>#NAME?</v>
      </c>
      <c r="AG9" s="21" t="e">
        <f ca="1">+AD9+AE9+AF9</f>
        <v>#NAME?</v>
      </c>
      <c r="AH9" s="20"/>
      <c r="AI9" s="20"/>
      <c r="AJ9" s="20"/>
      <c r="AK9" s="20"/>
      <c r="AL9" s="20"/>
      <c r="AM9" s="20"/>
      <c r="AN9" s="20"/>
      <c r="AO9" s="20"/>
      <c r="AP9" s="53"/>
    </row>
    <row r="10" spans="1:57" ht="15.75" thickTop="1" x14ac:dyDescent="0.25">
      <c r="B10" s="22" t="s">
        <v>126</v>
      </c>
      <c r="C10" s="25" t="s">
        <v>127</v>
      </c>
      <c r="AV10" s="6"/>
    </row>
    <row r="11" spans="1:57" ht="15.75" thickBot="1" x14ac:dyDescent="0.3">
      <c r="B11" s="22"/>
      <c r="C11" s="23"/>
    </row>
    <row r="12" spans="1:57" ht="21.75" thickTop="1" x14ac:dyDescent="0.35">
      <c r="B12" s="22"/>
      <c r="C12" s="23"/>
      <c r="E12" s="12" t="s">
        <v>92</v>
      </c>
      <c r="F12" s="13"/>
      <c r="G12" s="13"/>
      <c r="H12" s="13"/>
      <c r="I12" s="13"/>
      <c r="J12" s="13"/>
      <c r="K12" s="13"/>
      <c r="L12" s="13"/>
      <c r="M12" s="13"/>
      <c r="N12" s="13"/>
      <c r="O12" s="13"/>
      <c r="P12" s="13"/>
      <c r="Q12" s="13"/>
      <c r="R12" s="13"/>
      <c r="S12" s="13"/>
      <c r="T12" s="13"/>
      <c r="U12" s="13"/>
      <c r="V12" s="13"/>
      <c r="W12" s="13"/>
      <c r="X12" s="13"/>
      <c r="Y12" s="13"/>
      <c r="Z12" s="13"/>
      <c r="AA12" s="13"/>
      <c r="AB12" s="13"/>
      <c r="AC12" s="13"/>
      <c r="AD12" s="13"/>
      <c r="AE12" s="13"/>
      <c r="AF12" s="13"/>
      <c r="AG12" s="38"/>
      <c r="AH12" s="117"/>
      <c r="AI12" s="39"/>
      <c r="AJ12" s="40"/>
      <c r="AK12" s="13"/>
      <c r="AL12" s="39"/>
      <c r="AM12" s="13"/>
      <c r="AN12" s="13"/>
      <c r="AO12" s="13"/>
      <c r="AP12" s="13"/>
      <c r="AQ12" s="13"/>
      <c r="AR12" s="13"/>
      <c r="AS12" s="13"/>
      <c r="AT12" s="39"/>
      <c r="AU12" s="39"/>
      <c r="AV12" s="13"/>
      <c r="AW12" s="13"/>
      <c r="AX12" s="39"/>
      <c r="AY12" s="13"/>
      <c r="AZ12" s="39"/>
      <c r="BA12" s="13"/>
      <c r="BB12" s="13"/>
      <c r="BC12" s="13"/>
      <c r="BD12" s="42"/>
    </row>
    <row r="13" spans="1:57" x14ac:dyDescent="0.25">
      <c r="B13" s="22"/>
      <c r="C13" s="23"/>
      <c r="E13" s="22"/>
      <c r="AG13" s="93"/>
      <c r="AM13" s="6" t="s">
        <v>138</v>
      </c>
      <c r="AZ13" s="6"/>
      <c r="BD13" s="23"/>
    </row>
    <row r="14" spans="1:57" x14ac:dyDescent="0.25">
      <c r="B14" s="22"/>
      <c r="C14" s="23"/>
      <c r="E14" s="22">
        <v>1</v>
      </c>
      <c r="F14">
        <f>+E14+1</f>
        <v>2</v>
      </c>
      <c r="G14">
        <f t="shared" ref="G14:BD14" si="0">+F14+1</f>
        <v>3</v>
      </c>
      <c r="H14">
        <f t="shared" si="0"/>
        <v>4</v>
      </c>
      <c r="I14">
        <f t="shared" si="0"/>
        <v>5</v>
      </c>
      <c r="J14">
        <f t="shared" si="0"/>
        <v>6</v>
      </c>
      <c r="K14">
        <f t="shared" si="0"/>
        <v>7</v>
      </c>
      <c r="L14">
        <f t="shared" si="0"/>
        <v>8</v>
      </c>
      <c r="M14">
        <f t="shared" si="0"/>
        <v>9</v>
      </c>
      <c r="N14">
        <f t="shared" si="0"/>
        <v>10</v>
      </c>
      <c r="O14">
        <f t="shared" si="0"/>
        <v>11</v>
      </c>
      <c r="P14">
        <f t="shared" si="0"/>
        <v>12</v>
      </c>
      <c r="Q14">
        <f t="shared" si="0"/>
        <v>13</v>
      </c>
      <c r="R14">
        <f t="shared" si="0"/>
        <v>14</v>
      </c>
      <c r="S14">
        <f t="shared" si="0"/>
        <v>15</v>
      </c>
      <c r="T14">
        <f t="shared" si="0"/>
        <v>16</v>
      </c>
      <c r="U14">
        <f t="shared" si="0"/>
        <v>17</v>
      </c>
      <c r="V14">
        <f t="shared" si="0"/>
        <v>18</v>
      </c>
      <c r="W14">
        <f t="shared" si="0"/>
        <v>19</v>
      </c>
      <c r="X14">
        <f t="shared" si="0"/>
        <v>20</v>
      </c>
      <c r="Y14">
        <f t="shared" si="0"/>
        <v>21</v>
      </c>
      <c r="Z14">
        <f t="shared" si="0"/>
        <v>22</v>
      </c>
      <c r="AA14">
        <f t="shared" si="0"/>
        <v>23</v>
      </c>
      <c r="AB14">
        <f t="shared" si="0"/>
        <v>24</v>
      </c>
      <c r="AC14">
        <f t="shared" si="0"/>
        <v>25</v>
      </c>
      <c r="AD14">
        <f t="shared" si="0"/>
        <v>26</v>
      </c>
      <c r="AE14">
        <f t="shared" si="0"/>
        <v>27</v>
      </c>
      <c r="AF14">
        <f t="shared" si="0"/>
        <v>28</v>
      </c>
      <c r="AG14">
        <f t="shared" si="0"/>
        <v>29</v>
      </c>
      <c r="AH14">
        <f t="shared" si="0"/>
        <v>30</v>
      </c>
      <c r="AI14">
        <f t="shared" si="0"/>
        <v>31</v>
      </c>
      <c r="AJ14">
        <f t="shared" si="0"/>
        <v>32</v>
      </c>
      <c r="AK14">
        <f t="shared" si="0"/>
        <v>33</v>
      </c>
      <c r="AL14">
        <f t="shared" si="0"/>
        <v>34</v>
      </c>
      <c r="AM14">
        <f t="shared" si="0"/>
        <v>35</v>
      </c>
      <c r="AN14">
        <f t="shared" si="0"/>
        <v>36</v>
      </c>
      <c r="AO14">
        <f t="shared" si="0"/>
        <v>37</v>
      </c>
      <c r="AP14">
        <f t="shared" si="0"/>
        <v>38</v>
      </c>
      <c r="AQ14">
        <f t="shared" si="0"/>
        <v>39</v>
      </c>
      <c r="AR14">
        <f t="shared" si="0"/>
        <v>40</v>
      </c>
      <c r="AS14">
        <f t="shared" si="0"/>
        <v>41</v>
      </c>
      <c r="AT14">
        <f t="shared" si="0"/>
        <v>42</v>
      </c>
      <c r="AU14">
        <f t="shared" si="0"/>
        <v>43</v>
      </c>
      <c r="AV14">
        <f t="shared" si="0"/>
        <v>44</v>
      </c>
      <c r="AW14">
        <f t="shared" si="0"/>
        <v>45</v>
      </c>
      <c r="AX14">
        <f t="shared" si="0"/>
        <v>46</v>
      </c>
      <c r="AY14">
        <f t="shared" si="0"/>
        <v>47</v>
      </c>
      <c r="AZ14">
        <f t="shared" si="0"/>
        <v>48</v>
      </c>
      <c r="BA14">
        <f t="shared" si="0"/>
        <v>49</v>
      </c>
      <c r="BB14">
        <f t="shared" si="0"/>
        <v>50</v>
      </c>
      <c r="BC14">
        <f t="shared" si="0"/>
        <v>51</v>
      </c>
      <c r="BD14" s="23">
        <f t="shared" si="0"/>
        <v>52</v>
      </c>
    </row>
    <row r="15" spans="1:57" ht="17.25" x14ac:dyDescent="0.4">
      <c r="A15" s="11"/>
      <c r="B15" s="22"/>
      <c r="C15" s="23"/>
      <c r="E15" s="59" t="s">
        <v>57</v>
      </c>
      <c r="F15" s="60"/>
      <c r="G15" s="58" t="s">
        <v>59</v>
      </c>
      <c r="H15" s="58"/>
      <c r="I15" s="58"/>
      <c r="J15" s="58"/>
      <c r="K15" s="58"/>
      <c r="L15" s="58"/>
      <c r="M15" s="58"/>
      <c r="N15" s="58"/>
      <c r="O15" s="62" t="s">
        <v>60</v>
      </c>
      <c r="P15" s="63"/>
      <c r="Q15" s="63"/>
      <c r="R15" s="63"/>
      <c r="S15" s="63"/>
      <c r="T15" s="58" t="s">
        <v>27</v>
      </c>
      <c r="U15" s="81"/>
      <c r="V15" s="81"/>
      <c r="W15" s="81"/>
      <c r="X15" s="81"/>
      <c r="Y15" s="81"/>
      <c r="Z15" s="81"/>
      <c r="AA15" s="81"/>
      <c r="AB15" s="81"/>
      <c r="AC15" s="81"/>
      <c r="AD15" s="81"/>
      <c r="AE15" s="81"/>
      <c r="AF15" s="81"/>
      <c r="AG15" s="81"/>
      <c r="AH15" s="81"/>
      <c r="AI15" s="81"/>
      <c r="AJ15" s="81"/>
      <c r="AK15" s="81"/>
      <c r="AL15" s="81"/>
      <c r="AM15" s="81"/>
      <c r="AN15" s="81"/>
      <c r="AO15" s="81"/>
      <c r="AP15" s="81"/>
      <c r="AQ15" s="69" t="s">
        <v>77</v>
      </c>
      <c r="AR15" s="70"/>
      <c r="AS15" s="70"/>
      <c r="AT15" s="70"/>
      <c r="AU15" s="70"/>
      <c r="AV15" s="70"/>
      <c r="AW15" s="70"/>
      <c r="AX15" s="70"/>
      <c r="AY15" s="70"/>
      <c r="AZ15" s="70"/>
      <c r="BA15" s="70"/>
      <c r="BB15" s="60" t="s">
        <v>57</v>
      </c>
      <c r="BC15" s="73"/>
      <c r="BD15" s="74"/>
      <c r="BE15" s="6"/>
    </row>
    <row r="16" spans="1:57" ht="90" x14ac:dyDescent="0.25">
      <c r="A16" s="11"/>
      <c r="B16" s="22"/>
      <c r="C16" s="23"/>
      <c r="E16" s="55" t="s">
        <v>12</v>
      </c>
      <c r="F16" s="48" t="s">
        <v>11</v>
      </c>
      <c r="G16" s="56" t="s">
        <v>38</v>
      </c>
      <c r="H16" s="56" t="s">
        <v>7</v>
      </c>
      <c r="I16" s="56" t="s">
        <v>0</v>
      </c>
      <c r="J16" s="56" t="s">
        <v>1</v>
      </c>
      <c r="K16" s="56" t="s">
        <v>2</v>
      </c>
      <c r="L16" s="56" t="s">
        <v>3</v>
      </c>
      <c r="M16" s="56" t="s">
        <v>6</v>
      </c>
      <c r="N16" s="57" t="s">
        <v>15</v>
      </c>
      <c r="O16" s="41" t="s">
        <v>4</v>
      </c>
      <c r="P16" s="41" t="s">
        <v>8</v>
      </c>
      <c r="Q16" s="41" t="s">
        <v>10</v>
      </c>
      <c r="R16" s="41" t="s">
        <v>21</v>
      </c>
      <c r="S16" s="61" t="s">
        <v>15</v>
      </c>
      <c r="T16" s="56" t="s">
        <v>17</v>
      </c>
      <c r="U16" s="56" t="s">
        <v>18</v>
      </c>
      <c r="V16" s="56" t="s">
        <v>44</v>
      </c>
      <c r="W16" s="56" t="s">
        <v>133</v>
      </c>
      <c r="X16" s="56" t="s">
        <v>154</v>
      </c>
      <c r="Y16" s="56" t="str">
        <f>"Total fixed payment"</f>
        <v>Total fixed payment</v>
      </c>
      <c r="Z16" s="56" t="s">
        <v>28</v>
      </c>
      <c r="AA16" s="56" t="s">
        <v>19</v>
      </c>
      <c r="AB16" s="56" t="s">
        <v>23</v>
      </c>
      <c r="AC16" s="56" t="s">
        <v>45</v>
      </c>
      <c r="AD16" s="56" t="s">
        <v>20</v>
      </c>
      <c r="AE16" s="56" t="s">
        <v>47</v>
      </c>
      <c r="AF16" s="56" t="s">
        <v>46</v>
      </c>
      <c r="AG16" s="56" t="s">
        <v>29</v>
      </c>
      <c r="AH16" s="56" t="s">
        <v>49</v>
      </c>
      <c r="AI16" s="80" t="s">
        <v>30</v>
      </c>
      <c r="AJ16" s="80" t="s">
        <v>31</v>
      </c>
      <c r="AK16" s="80" t="s">
        <v>32</v>
      </c>
      <c r="AL16" s="56" t="s">
        <v>36</v>
      </c>
      <c r="AM16" s="56" t="s">
        <v>34</v>
      </c>
      <c r="AN16" s="56" t="s">
        <v>33</v>
      </c>
      <c r="AO16" s="56" t="s">
        <v>48</v>
      </c>
      <c r="AP16" s="56" t="s">
        <v>35</v>
      </c>
      <c r="AQ16" s="68" t="s">
        <v>41</v>
      </c>
      <c r="AR16" s="68" t="s">
        <v>42</v>
      </c>
      <c r="AS16" s="68" t="s">
        <v>43</v>
      </c>
      <c r="AT16" s="68" t="s">
        <v>50</v>
      </c>
      <c r="AU16" s="68" t="s">
        <v>101</v>
      </c>
      <c r="AV16" s="68" t="s">
        <v>78</v>
      </c>
      <c r="AW16" s="68" t="s">
        <v>51</v>
      </c>
      <c r="AX16" s="68" t="s">
        <v>58</v>
      </c>
      <c r="AY16" s="68" t="s">
        <v>53</v>
      </c>
      <c r="AZ16" s="68" t="s">
        <v>73</v>
      </c>
      <c r="BA16" s="68" t="s">
        <v>52</v>
      </c>
      <c r="BB16" s="71" t="s">
        <v>54</v>
      </c>
      <c r="BC16" s="71" t="s">
        <v>55</v>
      </c>
      <c r="BD16" s="72" t="s">
        <v>24</v>
      </c>
      <c r="BE16" s="1"/>
    </row>
    <row r="17" spans="1:62" x14ac:dyDescent="0.25">
      <c r="B17" s="27" t="s">
        <v>93</v>
      </c>
      <c r="C17" s="28"/>
      <c r="D17" s="8"/>
      <c r="E17" s="122">
        <v>0</v>
      </c>
      <c r="F17" s="3">
        <v>46022</v>
      </c>
      <c r="G17" s="3">
        <v>45992</v>
      </c>
      <c r="H17" s="3">
        <v>47483</v>
      </c>
      <c r="I17" s="3" t="s">
        <v>61</v>
      </c>
      <c r="J17" s="3">
        <v>47483</v>
      </c>
      <c r="K17" s="3" t="s">
        <v>61</v>
      </c>
      <c r="L17" s="3">
        <v>47483</v>
      </c>
      <c r="M17" s="3">
        <f>IF(K17="Yes",MIN(EOMONTH(H17,0),EOMONTH(L17,0)),IF(I17="Yes",EOMONTH(J17,0),H17))</f>
        <v>47483</v>
      </c>
      <c r="N17" s="122">
        <f>(YEAR(M17)-YEAR(G17))*12+MONTH(M17)-MONTH(G17)</f>
        <v>48</v>
      </c>
      <c r="O17" s="3" t="s">
        <v>61</v>
      </c>
      <c r="P17" s="122">
        <v>5</v>
      </c>
      <c r="Q17" s="3">
        <f>+EDATE(G17,P17*12)</f>
        <v>47818</v>
      </c>
      <c r="R17" s="3">
        <f>IF(O17="Yes",EOMONTH(Q17,0),IF(IDATE(Q17),MIN(EOMONTH(M17,0),EOMONTH(Q17,0)),EOMONTH(M17,0)))</f>
        <v>47483</v>
      </c>
      <c r="S17" s="122">
        <f>(YEAR(R17)-YEAR(G17))*12+MONTH(R17)-MONTH(G17)</f>
        <v>48</v>
      </c>
      <c r="T17" s="5">
        <v>0.08</v>
      </c>
      <c r="U17" s="5">
        <v>0.11</v>
      </c>
      <c r="V17" t="s">
        <v>134</v>
      </c>
      <c r="W17" s="5">
        <v>8.7345938235519061E-3</v>
      </c>
      <c r="Y17" s="94">
        <v>150000</v>
      </c>
      <c r="Z17" s="94">
        <v>0</v>
      </c>
      <c r="AA17" s="94">
        <f t="shared" ref="AA17:AA48" si="1">Y17-Z17</f>
        <v>150000</v>
      </c>
      <c r="AB17" s="94"/>
      <c r="AC17" s="94">
        <f t="shared" ref="AC17:AC48" si="2">AA17+AB17</f>
        <v>150000</v>
      </c>
      <c r="AD17" s="94">
        <v>0</v>
      </c>
      <c r="AE17" s="94">
        <v>0</v>
      </c>
      <c r="AF17" s="94">
        <v>0</v>
      </c>
      <c r="AG17" s="94">
        <f>NPV(W17,AC17:AC65)</f>
        <v>5958599.086895925</v>
      </c>
      <c r="AH17">
        <f t="shared" ref="AH17:AH48" si="3">N17-((YEAR(F17)-YEAR(G17))*12+MONTH(F17)-MONTH(G17))</f>
        <v>48</v>
      </c>
      <c r="AI17" s="94">
        <f t="shared" ref="AI17:AI48" si="4">AD17/POWER(1+W17,AH17+1)</f>
        <v>0</v>
      </c>
      <c r="AJ17" s="94">
        <f t="shared" ref="AJ17:AJ48" si="5">AE17/POWER(1+W17,AH17+1)</f>
        <v>0</v>
      </c>
      <c r="AK17" s="94">
        <f t="shared" ref="AK17:AK48" si="6">AF17/POWER(1+W17,AH17+1)</f>
        <v>0</v>
      </c>
      <c r="AL17" s="94">
        <f>AG17+AI17+AJ17+AK17</f>
        <v>5958599.086895925</v>
      </c>
      <c r="AM17" s="94">
        <f t="shared" ref="AM17:AM48" si="7">(AG17+AI17+AJ17+AK17)*W17</f>
        <v>52045.942781423175</v>
      </c>
      <c r="AN17" s="94">
        <f t="shared" ref="AN17:AN48" si="8">-AC17</f>
        <v>-150000</v>
      </c>
      <c r="AO17" s="94">
        <f t="shared" ref="AO17:AO48" si="9">AG17+AI17+AJ17+AK17-AL17</f>
        <v>0</v>
      </c>
      <c r="AP17" s="94">
        <f t="shared" ref="AP17:AP48" si="10">AL17+AM17+AN17+AO17</f>
        <v>5860645.0296773482</v>
      </c>
      <c r="AQ17" s="94">
        <v>0</v>
      </c>
      <c r="AR17" s="94">
        <v>0</v>
      </c>
      <c r="AS17" s="94">
        <v>0</v>
      </c>
      <c r="AT17" s="94">
        <f>AL17+AQ17+AR17+AS17</f>
        <v>5958599.086895925</v>
      </c>
      <c r="AU17" s="94">
        <v>0</v>
      </c>
      <c r="AV17" s="94"/>
      <c r="AW17" s="94">
        <f t="shared" ref="AW17:AW48" si="11">AO17</f>
        <v>0</v>
      </c>
      <c r="AX17" s="94">
        <v>0</v>
      </c>
      <c r="AY17">
        <f t="shared" ref="AY17:AY48" si="12">S17-((YEAR(F17)-YEAR(G17))*12+MONTH(F17)-MONTH(G17))</f>
        <v>48</v>
      </c>
      <c r="AZ17" s="94">
        <f t="shared" ref="AZ17:AZ48" si="13">(AT17-AU17-AV17+AW17+AX17)/(AY17+1)</f>
        <v>121604.06299787603</v>
      </c>
      <c r="BA17" s="94">
        <f t="shared" ref="BA17:BA48" si="14">AT17-AV17+AW17+AX17-AZ17</f>
        <v>5836995.0238980493</v>
      </c>
      <c r="BB17" t="s">
        <v>9</v>
      </c>
      <c r="BC17" t="s">
        <v>56</v>
      </c>
      <c r="BD17" s="9">
        <v>45810.626458333332</v>
      </c>
      <c r="BF17" s="4"/>
      <c r="BG17" s="4"/>
      <c r="BH17" s="8"/>
      <c r="BI17" s="4"/>
    </row>
    <row r="18" spans="1:62" x14ac:dyDescent="0.25">
      <c r="A18" s="11"/>
      <c r="B18" s="22" t="s">
        <v>37</v>
      </c>
      <c r="C18" s="25" t="s">
        <v>9</v>
      </c>
      <c r="D18" s="8"/>
      <c r="E18" s="122">
        <v>1</v>
      </c>
      <c r="F18" s="3">
        <v>46053</v>
      </c>
      <c r="G18" s="3">
        <v>45992</v>
      </c>
      <c r="H18" s="3">
        <v>47483</v>
      </c>
      <c r="I18" s="3" t="s">
        <v>61</v>
      </c>
      <c r="J18" s="3">
        <v>47483</v>
      </c>
      <c r="K18" s="3" t="s">
        <v>61</v>
      </c>
      <c r="L18" s="3">
        <v>47483</v>
      </c>
      <c r="M18" s="3">
        <v>47483</v>
      </c>
      <c r="N18" s="122">
        <v>48</v>
      </c>
      <c r="O18" s="3" t="s">
        <v>61</v>
      </c>
      <c r="P18" s="122">
        <v>5</v>
      </c>
      <c r="Q18" s="3">
        <v>47818</v>
      </c>
      <c r="R18" s="3">
        <v>47483</v>
      </c>
      <c r="S18" s="122">
        <v>48</v>
      </c>
      <c r="T18" s="5">
        <v>0.08</v>
      </c>
      <c r="U18" s="5">
        <v>0.11</v>
      </c>
      <c r="V18" t="s">
        <v>134</v>
      </c>
      <c r="W18" s="5">
        <v>8.7345938235519061E-3</v>
      </c>
      <c r="Y18" s="94">
        <v>150000</v>
      </c>
      <c r="Z18" s="94">
        <v>0</v>
      </c>
      <c r="AA18" s="94">
        <f t="shared" si="1"/>
        <v>150000</v>
      </c>
      <c r="AB18" s="94"/>
      <c r="AC18" s="94">
        <f t="shared" si="2"/>
        <v>150000</v>
      </c>
      <c r="AD18" s="94">
        <v>0</v>
      </c>
      <c r="AE18" s="94">
        <v>0</v>
      </c>
      <c r="AF18" s="94">
        <v>0</v>
      </c>
      <c r="AG18" s="94">
        <f>NPV(W18,AC18:AC65)</f>
        <v>5860645.0296773482</v>
      </c>
      <c r="AH18">
        <f t="shared" si="3"/>
        <v>47</v>
      </c>
      <c r="AI18" s="94">
        <f t="shared" si="4"/>
        <v>0</v>
      </c>
      <c r="AJ18" s="94">
        <f t="shared" si="5"/>
        <v>0</v>
      </c>
      <c r="AK18" s="94">
        <f t="shared" si="6"/>
        <v>0</v>
      </c>
      <c r="AL18" s="94">
        <f t="shared" ref="AL18:AL65" si="15">AP17</f>
        <v>5860645.0296773482</v>
      </c>
      <c r="AM18" s="94">
        <f t="shared" si="7"/>
        <v>51190.353878249945</v>
      </c>
      <c r="AN18" s="94">
        <f t="shared" si="8"/>
        <v>-150000</v>
      </c>
      <c r="AO18" s="94">
        <f t="shared" si="9"/>
        <v>0</v>
      </c>
      <c r="AP18" s="94">
        <f t="shared" si="10"/>
        <v>5761835.3835555986</v>
      </c>
      <c r="AQ18" s="94">
        <v>0</v>
      </c>
      <c r="AR18" s="94">
        <v>0</v>
      </c>
      <c r="AS18" s="94">
        <v>0</v>
      </c>
      <c r="AT18" s="94">
        <f t="shared" ref="AT18:AT65" si="16">BA17</f>
        <v>5836995.0238980493</v>
      </c>
      <c r="AU18" s="94">
        <v>0</v>
      </c>
      <c r="AV18" s="94"/>
      <c r="AW18" s="94">
        <f t="shared" si="11"/>
        <v>0</v>
      </c>
      <c r="AX18" s="94">
        <f t="shared" ref="AX18:AX65" si="17">AQ18+AR18+AS18-AQ17-AR17-AS17</f>
        <v>0</v>
      </c>
      <c r="AY18">
        <f t="shared" si="12"/>
        <v>47</v>
      </c>
      <c r="AZ18" s="94">
        <f t="shared" si="13"/>
        <v>121604.06299787603</v>
      </c>
      <c r="BA18" s="94">
        <f t="shared" si="14"/>
        <v>5715390.9609001735</v>
      </c>
      <c r="BB18" t="s">
        <v>9</v>
      </c>
      <c r="BC18" t="s">
        <v>56</v>
      </c>
      <c r="BD18" s="9">
        <v>45810.626458333332</v>
      </c>
      <c r="BF18" s="4"/>
      <c r="BG18" s="4"/>
      <c r="BH18" s="8"/>
      <c r="BI18" s="4"/>
      <c r="BJ18" s="8"/>
    </row>
    <row r="19" spans="1:62" x14ac:dyDescent="0.25">
      <c r="A19" s="11"/>
      <c r="B19" s="22" t="s">
        <v>103</v>
      </c>
      <c r="C19" s="26">
        <v>44985</v>
      </c>
      <c r="D19" s="8"/>
      <c r="E19" s="122">
        <v>2</v>
      </c>
      <c r="F19" s="3">
        <v>46081</v>
      </c>
      <c r="G19" s="3">
        <v>45992</v>
      </c>
      <c r="H19" s="3">
        <v>47483</v>
      </c>
      <c r="I19" s="3" t="s">
        <v>61</v>
      </c>
      <c r="J19" s="3">
        <v>47483</v>
      </c>
      <c r="K19" s="3" t="s">
        <v>61</v>
      </c>
      <c r="L19" s="3">
        <v>47483</v>
      </c>
      <c r="M19" s="3">
        <v>47483</v>
      </c>
      <c r="N19" s="122">
        <v>48</v>
      </c>
      <c r="O19" s="3" t="s">
        <v>61</v>
      </c>
      <c r="P19" s="122">
        <v>5</v>
      </c>
      <c r="Q19" s="3">
        <v>47818</v>
      </c>
      <c r="R19" s="3">
        <v>47483</v>
      </c>
      <c r="S19" s="122">
        <v>48</v>
      </c>
      <c r="T19" s="5">
        <v>0.08</v>
      </c>
      <c r="U19" s="5">
        <v>0.11</v>
      </c>
      <c r="V19" t="s">
        <v>134</v>
      </c>
      <c r="W19" s="5">
        <v>8.7345938235519061E-3</v>
      </c>
      <c r="Y19" s="94">
        <v>150000</v>
      </c>
      <c r="Z19" s="94">
        <v>0</v>
      </c>
      <c r="AA19" s="94">
        <f t="shared" si="1"/>
        <v>150000</v>
      </c>
      <c r="AB19" s="94"/>
      <c r="AC19" s="94">
        <f t="shared" si="2"/>
        <v>150000</v>
      </c>
      <c r="AD19" s="94">
        <v>0</v>
      </c>
      <c r="AE19" s="94">
        <v>0</v>
      </c>
      <c r="AF19" s="94">
        <v>0</v>
      </c>
      <c r="AG19" s="94">
        <f>NPV(W19,AC19:AC65)</f>
        <v>5761835.3835555986</v>
      </c>
      <c r="AH19">
        <f t="shared" si="3"/>
        <v>46</v>
      </c>
      <c r="AI19" s="94">
        <f t="shared" si="4"/>
        <v>0</v>
      </c>
      <c r="AJ19" s="94">
        <f t="shared" si="5"/>
        <v>0</v>
      </c>
      <c r="AK19" s="94">
        <f t="shared" si="6"/>
        <v>0</v>
      </c>
      <c r="AL19" s="94">
        <f t="shared" si="15"/>
        <v>5761835.3835555986</v>
      </c>
      <c r="AM19" s="94">
        <f t="shared" si="7"/>
        <v>50327.291753527556</v>
      </c>
      <c r="AN19" s="94">
        <f t="shared" si="8"/>
        <v>-150000</v>
      </c>
      <c r="AO19" s="94">
        <f t="shared" si="9"/>
        <v>0</v>
      </c>
      <c r="AP19" s="94">
        <f t="shared" si="10"/>
        <v>5662162.6753091263</v>
      </c>
      <c r="AQ19" s="94">
        <v>0</v>
      </c>
      <c r="AR19" s="94">
        <v>0</v>
      </c>
      <c r="AS19" s="94">
        <v>0</v>
      </c>
      <c r="AT19" s="94">
        <f t="shared" si="16"/>
        <v>5715390.9609001735</v>
      </c>
      <c r="AU19" s="94">
        <v>0</v>
      </c>
      <c r="AV19" s="94"/>
      <c r="AW19" s="94">
        <f t="shared" si="11"/>
        <v>0</v>
      </c>
      <c r="AX19" s="94">
        <f t="shared" si="17"/>
        <v>0</v>
      </c>
      <c r="AY19">
        <f t="shared" si="12"/>
        <v>46</v>
      </c>
      <c r="AZ19" s="94">
        <f t="shared" si="13"/>
        <v>121604.06299787603</v>
      </c>
      <c r="BA19" s="94">
        <f t="shared" si="14"/>
        <v>5593786.8979022978</v>
      </c>
      <c r="BB19" t="s">
        <v>9</v>
      </c>
      <c r="BC19" t="s">
        <v>56</v>
      </c>
      <c r="BD19" s="9">
        <v>45810.626458333332</v>
      </c>
      <c r="BF19" s="4"/>
      <c r="BG19" s="4"/>
      <c r="BH19" s="8"/>
      <c r="BI19" s="4"/>
    </row>
    <row r="20" spans="1:62" x14ac:dyDescent="0.25">
      <c r="A20" s="11"/>
      <c r="B20" s="22" t="s">
        <v>55</v>
      </c>
      <c r="C20" s="25" t="s">
        <v>56</v>
      </c>
      <c r="D20" s="8"/>
      <c r="E20" s="122">
        <v>3</v>
      </c>
      <c r="F20" s="3">
        <v>46112</v>
      </c>
      <c r="G20" s="3">
        <v>45992</v>
      </c>
      <c r="H20" s="3">
        <v>47483</v>
      </c>
      <c r="I20" s="3" t="s">
        <v>61</v>
      </c>
      <c r="J20" s="3">
        <v>47483</v>
      </c>
      <c r="K20" s="3" t="s">
        <v>61</v>
      </c>
      <c r="L20" s="3">
        <v>47483</v>
      </c>
      <c r="M20" s="3">
        <v>47483</v>
      </c>
      <c r="N20" s="122">
        <v>48</v>
      </c>
      <c r="O20" s="3" t="s">
        <v>61</v>
      </c>
      <c r="P20" s="122">
        <v>5</v>
      </c>
      <c r="Q20" s="3">
        <v>47818</v>
      </c>
      <c r="R20" s="3">
        <v>47483</v>
      </c>
      <c r="S20" s="122">
        <v>48</v>
      </c>
      <c r="T20" s="5">
        <v>0.08</v>
      </c>
      <c r="U20" s="5">
        <v>0.11</v>
      </c>
      <c r="V20" t="s">
        <v>134</v>
      </c>
      <c r="W20" s="5">
        <v>8.7345938235519061E-3</v>
      </c>
      <c r="Y20" s="94">
        <v>150000</v>
      </c>
      <c r="Z20" s="94">
        <v>0</v>
      </c>
      <c r="AA20" s="94">
        <f t="shared" si="1"/>
        <v>150000</v>
      </c>
      <c r="AB20" s="94"/>
      <c r="AC20" s="94">
        <f t="shared" si="2"/>
        <v>150000</v>
      </c>
      <c r="AD20" s="94">
        <v>0</v>
      </c>
      <c r="AE20" s="94">
        <v>0</v>
      </c>
      <c r="AF20" s="94">
        <v>0</v>
      </c>
      <c r="AG20" s="94">
        <f>NPV(W20,AC20:AC65)</f>
        <v>5662162.6753091263</v>
      </c>
      <c r="AH20">
        <f t="shared" si="3"/>
        <v>45</v>
      </c>
      <c r="AI20" s="94">
        <f t="shared" si="4"/>
        <v>0</v>
      </c>
      <c r="AJ20" s="94">
        <f t="shared" si="5"/>
        <v>0</v>
      </c>
      <c r="AK20" s="94">
        <f t="shared" si="6"/>
        <v>0</v>
      </c>
      <c r="AL20" s="94">
        <f t="shared" si="15"/>
        <v>5662162.6753091263</v>
      </c>
      <c r="AM20" s="94">
        <f t="shared" si="7"/>
        <v>49456.691131701227</v>
      </c>
      <c r="AN20" s="94">
        <f t="shared" si="8"/>
        <v>-150000</v>
      </c>
      <c r="AO20" s="94">
        <f t="shared" si="9"/>
        <v>0</v>
      </c>
      <c r="AP20" s="94">
        <f t="shared" si="10"/>
        <v>5561619.366440827</v>
      </c>
      <c r="AQ20" s="94">
        <v>0</v>
      </c>
      <c r="AR20" s="94">
        <v>0</v>
      </c>
      <c r="AS20" s="94">
        <v>0</v>
      </c>
      <c r="AT20" s="94">
        <f t="shared" si="16"/>
        <v>5593786.8979022978</v>
      </c>
      <c r="AU20" s="94">
        <v>0</v>
      </c>
      <c r="AV20" s="94"/>
      <c r="AW20" s="94">
        <f t="shared" si="11"/>
        <v>0</v>
      </c>
      <c r="AX20" s="94">
        <f t="shared" si="17"/>
        <v>0</v>
      </c>
      <c r="AY20">
        <f t="shared" si="12"/>
        <v>45</v>
      </c>
      <c r="AZ20" s="94">
        <f t="shared" si="13"/>
        <v>121604.06299787604</v>
      </c>
      <c r="BA20" s="94">
        <f t="shared" si="14"/>
        <v>5472182.8349044221</v>
      </c>
      <c r="BB20" t="s">
        <v>9</v>
      </c>
      <c r="BC20" t="s">
        <v>56</v>
      </c>
      <c r="BD20" s="9">
        <v>45810.626458333332</v>
      </c>
      <c r="BH20" s="4"/>
    </row>
    <row r="21" spans="1:62" x14ac:dyDescent="0.25">
      <c r="A21" s="11"/>
      <c r="B21" s="22"/>
      <c r="C21" s="23"/>
      <c r="D21" s="8"/>
      <c r="E21" s="122">
        <v>4</v>
      </c>
      <c r="F21" s="3">
        <v>46142</v>
      </c>
      <c r="G21" s="3">
        <v>45992</v>
      </c>
      <c r="H21" s="3">
        <v>47483</v>
      </c>
      <c r="I21" s="3" t="s">
        <v>61</v>
      </c>
      <c r="J21" s="3">
        <v>47483</v>
      </c>
      <c r="K21" s="3" t="s">
        <v>61</v>
      </c>
      <c r="L21" s="3">
        <v>47483</v>
      </c>
      <c r="M21" s="3">
        <v>47483</v>
      </c>
      <c r="N21" s="122">
        <v>48</v>
      </c>
      <c r="O21" s="3" t="s">
        <v>61</v>
      </c>
      <c r="P21" s="122">
        <v>5</v>
      </c>
      <c r="Q21" s="3">
        <v>47818</v>
      </c>
      <c r="R21" s="3">
        <v>47483</v>
      </c>
      <c r="S21" s="122">
        <v>48</v>
      </c>
      <c r="T21" s="5">
        <v>0.08</v>
      </c>
      <c r="U21" s="5">
        <v>0.11</v>
      </c>
      <c r="V21" t="s">
        <v>134</v>
      </c>
      <c r="W21" s="5">
        <v>8.7345938235519061E-3</v>
      </c>
      <c r="Y21" s="94">
        <v>150000</v>
      </c>
      <c r="Z21" s="94">
        <v>0</v>
      </c>
      <c r="AA21" s="94">
        <f t="shared" si="1"/>
        <v>150000</v>
      </c>
      <c r="AB21" s="94"/>
      <c r="AC21" s="94">
        <f t="shared" si="2"/>
        <v>150000</v>
      </c>
      <c r="AD21" s="94">
        <v>0</v>
      </c>
      <c r="AE21" s="94">
        <v>0</v>
      </c>
      <c r="AF21" s="94">
        <v>0</v>
      </c>
      <c r="AG21" s="94">
        <f>NPV(W21,AC21:AC65)</f>
        <v>5561619.366440828</v>
      </c>
      <c r="AH21">
        <f t="shared" si="3"/>
        <v>44</v>
      </c>
      <c r="AI21" s="94">
        <f t="shared" si="4"/>
        <v>0</v>
      </c>
      <c r="AJ21" s="94">
        <f t="shared" si="5"/>
        <v>0</v>
      </c>
      <c r="AK21" s="94">
        <f t="shared" si="6"/>
        <v>0</v>
      </c>
      <c r="AL21" s="94">
        <f t="shared" si="15"/>
        <v>5561619.366440827</v>
      </c>
      <c r="AM21" s="94">
        <f t="shared" si="7"/>
        <v>48578.486167060721</v>
      </c>
      <c r="AN21" s="94">
        <f t="shared" si="8"/>
        <v>-150000</v>
      </c>
      <c r="AO21" s="94">
        <f t="shared" si="9"/>
        <v>0</v>
      </c>
      <c r="AP21" s="94">
        <f t="shared" si="10"/>
        <v>5460197.8526078882</v>
      </c>
      <c r="AQ21" s="94">
        <v>0</v>
      </c>
      <c r="AR21" s="94">
        <v>0</v>
      </c>
      <c r="AS21" s="94">
        <v>0</v>
      </c>
      <c r="AT21" s="94">
        <f t="shared" si="16"/>
        <v>5472182.8349044221</v>
      </c>
      <c r="AU21" s="94">
        <v>0</v>
      </c>
      <c r="AV21" s="94"/>
      <c r="AW21" s="94">
        <f t="shared" si="11"/>
        <v>0</v>
      </c>
      <c r="AX21" s="94">
        <f t="shared" si="17"/>
        <v>0</v>
      </c>
      <c r="AY21">
        <f t="shared" si="12"/>
        <v>44</v>
      </c>
      <c r="AZ21" s="94">
        <f t="shared" si="13"/>
        <v>121604.06299787604</v>
      </c>
      <c r="BA21" s="94">
        <f t="shared" si="14"/>
        <v>5350578.7719065463</v>
      </c>
      <c r="BB21" t="s">
        <v>9</v>
      </c>
      <c r="BC21" t="s">
        <v>56</v>
      </c>
      <c r="BD21" s="9">
        <v>45810.626458333332</v>
      </c>
      <c r="BH21" s="4"/>
    </row>
    <row r="22" spans="1:62" x14ac:dyDescent="0.25">
      <c r="A22" s="11"/>
      <c r="B22" s="27" t="s">
        <v>59</v>
      </c>
      <c r="C22" s="28"/>
      <c r="D22" s="8"/>
      <c r="E22" s="122">
        <v>5</v>
      </c>
      <c r="F22" s="3">
        <v>46173</v>
      </c>
      <c r="G22" s="3">
        <v>45992</v>
      </c>
      <c r="H22" s="3">
        <v>47483</v>
      </c>
      <c r="I22" s="3" t="s">
        <v>61</v>
      </c>
      <c r="J22" s="3">
        <v>47483</v>
      </c>
      <c r="K22" s="3" t="s">
        <v>61</v>
      </c>
      <c r="L22" s="3">
        <v>47483</v>
      </c>
      <c r="M22" s="3">
        <v>47483</v>
      </c>
      <c r="N22" s="122">
        <v>48</v>
      </c>
      <c r="O22" s="3" t="s">
        <v>61</v>
      </c>
      <c r="P22" s="122">
        <v>5</v>
      </c>
      <c r="Q22" s="3">
        <v>47818</v>
      </c>
      <c r="R22" s="3">
        <v>47483</v>
      </c>
      <c r="S22" s="122">
        <v>48</v>
      </c>
      <c r="T22" s="5">
        <v>0.08</v>
      </c>
      <c r="U22" s="5">
        <v>0.11</v>
      </c>
      <c r="V22" t="s">
        <v>134</v>
      </c>
      <c r="W22" s="5">
        <v>8.7345938235519061E-3</v>
      </c>
      <c r="Y22" s="94">
        <v>150000</v>
      </c>
      <c r="Z22" s="94">
        <v>0</v>
      </c>
      <c r="AA22" s="94">
        <f t="shared" si="1"/>
        <v>150000</v>
      </c>
      <c r="AB22" s="94"/>
      <c r="AC22" s="94">
        <f t="shared" si="2"/>
        <v>150000</v>
      </c>
      <c r="AD22" s="94">
        <v>0</v>
      </c>
      <c r="AE22" s="94">
        <v>0</v>
      </c>
      <c r="AF22" s="94">
        <v>0</v>
      </c>
      <c r="AG22" s="94">
        <f>NPV(W22,AC22:AC65)</f>
        <v>5460197.8526078891</v>
      </c>
      <c r="AH22">
        <f t="shared" si="3"/>
        <v>43</v>
      </c>
      <c r="AI22" s="94">
        <f t="shared" si="4"/>
        <v>0</v>
      </c>
      <c r="AJ22" s="94">
        <f t="shared" si="5"/>
        <v>0</v>
      </c>
      <c r="AK22" s="94">
        <f t="shared" si="6"/>
        <v>0</v>
      </c>
      <c r="AL22" s="94">
        <f t="shared" si="15"/>
        <v>5460197.8526078882</v>
      </c>
      <c r="AM22" s="94">
        <f t="shared" si="7"/>
        <v>47692.610438760246</v>
      </c>
      <c r="AN22" s="94">
        <f t="shared" si="8"/>
        <v>-150000</v>
      </c>
      <c r="AO22" s="94">
        <f t="shared" si="9"/>
        <v>0</v>
      </c>
      <c r="AP22" s="94">
        <f t="shared" si="10"/>
        <v>5357890.4630466485</v>
      </c>
      <c r="AQ22" s="94">
        <v>0</v>
      </c>
      <c r="AR22" s="94">
        <v>0</v>
      </c>
      <c r="AS22" s="94">
        <v>0</v>
      </c>
      <c r="AT22" s="94">
        <f t="shared" si="16"/>
        <v>5350578.7719065463</v>
      </c>
      <c r="AU22" s="94">
        <v>0</v>
      </c>
      <c r="AV22" s="94"/>
      <c r="AW22" s="94">
        <f t="shared" si="11"/>
        <v>0</v>
      </c>
      <c r="AX22" s="94">
        <f t="shared" si="17"/>
        <v>0</v>
      </c>
      <c r="AY22">
        <f t="shared" si="12"/>
        <v>43</v>
      </c>
      <c r="AZ22" s="94">
        <f t="shared" si="13"/>
        <v>121604.06299787606</v>
      </c>
      <c r="BA22" s="94">
        <f t="shared" si="14"/>
        <v>5228974.7089086706</v>
      </c>
      <c r="BB22" t="s">
        <v>9</v>
      </c>
      <c r="BC22" t="s">
        <v>56</v>
      </c>
      <c r="BD22" s="9">
        <v>45810.626458333332</v>
      </c>
    </row>
    <row r="23" spans="1:62" x14ac:dyDescent="0.25">
      <c r="A23" s="11"/>
      <c r="B23" s="16"/>
      <c r="C23" s="23"/>
      <c r="D23" s="8"/>
      <c r="E23" s="122">
        <v>6</v>
      </c>
      <c r="F23" s="3">
        <v>46203</v>
      </c>
      <c r="G23" s="3">
        <v>45992</v>
      </c>
      <c r="H23" s="3">
        <v>47483</v>
      </c>
      <c r="I23" s="3" t="s">
        <v>61</v>
      </c>
      <c r="J23" s="3">
        <v>47483</v>
      </c>
      <c r="K23" s="3" t="s">
        <v>61</v>
      </c>
      <c r="L23" s="3">
        <v>47483</v>
      </c>
      <c r="M23" s="3">
        <v>47483</v>
      </c>
      <c r="N23" s="122">
        <v>48</v>
      </c>
      <c r="O23" s="3" t="s">
        <v>61</v>
      </c>
      <c r="P23" s="122">
        <v>5</v>
      </c>
      <c r="Q23" s="3">
        <v>47818</v>
      </c>
      <c r="R23" s="3">
        <v>47483</v>
      </c>
      <c r="S23" s="122">
        <v>48</v>
      </c>
      <c r="T23" s="5">
        <v>0.08</v>
      </c>
      <c r="U23" s="5">
        <v>0.11</v>
      </c>
      <c r="V23" t="s">
        <v>134</v>
      </c>
      <c r="W23" s="5">
        <v>8.7345938235519061E-3</v>
      </c>
      <c r="Y23" s="94">
        <v>150000</v>
      </c>
      <c r="Z23" s="94">
        <v>0</v>
      </c>
      <c r="AA23" s="94">
        <f t="shared" si="1"/>
        <v>150000</v>
      </c>
      <c r="AB23" s="94"/>
      <c r="AC23" s="94">
        <f t="shared" si="2"/>
        <v>150000</v>
      </c>
      <c r="AD23" s="94">
        <v>0</v>
      </c>
      <c r="AE23" s="94">
        <v>0</v>
      </c>
      <c r="AF23" s="94">
        <v>0</v>
      </c>
      <c r="AG23" s="94">
        <f>NPV(W23,AC23:AC65)</f>
        <v>5357890.4630466495</v>
      </c>
      <c r="AH23">
        <f t="shared" si="3"/>
        <v>42</v>
      </c>
      <c r="AI23" s="94">
        <f t="shared" si="4"/>
        <v>0</v>
      </c>
      <c r="AJ23" s="94">
        <f t="shared" si="5"/>
        <v>0</v>
      </c>
      <c r="AK23" s="94">
        <f t="shared" si="6"/>
        <v>0</v>
      </c>
      <c r="AL23" s="94">
        <f t="shared" si="15"/>
        <v>5357890.4630466485</v>
      </c>
      <c r="AM23" s="94">
        <f t="shared" si="7"/>
        <v>46798.996945794926</v>
      </c>
      <c r="AN23" s="94">
        <f t="shared" si="8"/>
        <v>-150000</v>
      </c>
      <c r="AO23" s="94">
        <f t="shared" si="9"/>
        <v>0</v>
      </c>
      <c r="AP23" s="94">
        <f t="shared" si="10"/>
        <v>5254689.4599924432</v>
      </c>
      <c r="AQ23" s="94">
        <v>0</v>
      </c>
      <c r="AR23" s="94">
        <v>0</v>
      </c>
      <c r="AS23" s="94">
        <v>0</v>
      </c>
      <c r="AT23" s="94">
        <f t="shared" si="16"/>
        <v>5228974.7089086706</v>
      </c>
      <c r="AU23" s="94">
        <v>0</v>
      </c>
      <c r="AV23" s="94"/>
      <c r="AW23" s="94">
        <f t="shared" si="11"/>
        <v>0</v>
      </c>
      <c r="AX23" s="94">
        <f t="shared" si="17"/>
        <v>0</v>
      </c>
      <c r="AY23">
        <f t="shared" si="12"/>
        <v>42</v>
      </c>
      <c r="AZ23" s="94">
        <f t="shared" si="13"/>
        <v>121604.06299787606</v>
      </c>
      <c r="BA23" s="94">
        <f t="shared" si="14"/>
        <v>5107370.6459107948</v>
      </c>
      <c r="BB23" t="s">
        <v>9</v>
      </c>
      <c r="BC23" t="s">
        <v>56</v>
      </c>
      <c r="BD23" s="9">
        <v>45810.626458333332</v>
      </c>
    </row>
    <row r="24" spans="1:62" x14ac:dyDescent="0.25">
      <c r="A24" s="11"/>
      <c r="B24" s="22" t="s">
        <v>38</v>
      </c>
      <c r="C24" s="123">
        <v>45992</v>
      </c>
      <c r="D24" s="8"/>
      <c r="E24" s="122">
        <v>7</v>
      </c>
      <c r="F24" s="3">
        <v>46234</v>
      </c>
      <c r="G24" s="3">
        <v>45992</v>
      </c>
      <c r="H24" s="3">
        <v>47483</v>
      </c>
      <c r="I24" s="3" t="s">
        <v>61</v>
      </c>
      <c r="J24" s="3">
        <v>47483</v>
      </c>
      <c r="K24" s="3" t="s">
        <v>61</v>
      </c>
      <c r="L24" s="3">
        <v>47483</v>
      </c>
      <c r="M24" s="3">
        <v>47483</v>
      </c>
      <c r="N24" s="122">
        <v>48</v>
      </c>
      <c r="O24" s="3" t="s">
        <v>61</v>
      </c>
      <c r="P24" s="122">
        <v>5</v>
      </c>
      <c r="Q24" s="3">
        <v>47818</v>
      </c>
      <c r="R24" s="3">
        <v>47483</v>
      </c>
      <c r="S24" s="122">
        <v>48</v>
      </c>
      <c r="T24" s="5">
        <v>0.08</v>
      </c>
      <c r="U24" s="5">
        <v>0.11</v>
      </c>
      <c r="V24" t="s">
        <v>134</v>
      </c>
      <c r="W24" s="5">
        <v>8.7345938235519061E-3</v>
      </c>
      <c r="Y24" s="94">
        <v>150000</v>
      </c>
      <c r="Z24" s="94">
        <v>0</v>
      </c>
      <c r="AA24" s="94">
        <f t="shared" si="1"/>
        <v>150000</v>
      </c>
      <c r="AB24" s="94"/>
      <c r="AC24" s="94">
        <f t="shared" si="2"/>
        <v>150000</v>
      </c>
      <c r="AD24" s="94">
        <v>0</v>
      </c>
      <c r="AE24" s="94">
        <v>0</v>
      </c>
      <c r="AF24" s="94">
        <v>0</v>
      </c>
      <c r="AG24" s="94">
        <f>NPV(W24,AC24:AC65)</f>
        <v>5254689.4599924441</v>
      </c>
      <c r="AH24">
        <f t="shared" si="3"/>
        <v>41</v>
      </c>
      <c r="AI24" s="94">
        <f t="shared" si="4"/>
        <v>0</v>
      </c>
      <c r="AJ24" s="94">
        <f t="shared" si="5"/>
        <v>0</v>
      </c>
      <c r="AK24" s="94">
        <f t="shared" si="6"/>
        <v>0</v>
      </c>
      <c r="AL24" s="94">
        <f t="shared" si="15"/>
        <v>5254689.4599924432</v>
      </c>
      <c r="AM24" s="94">
        <f t="shared" si="7"/>
        <v>45897.578101933301</v>
      </c>
      <c r="AN24" s="94">
        <f t="shared" si="8"/>
        <v>-150000</v>
      </c>
      <c r="AO24" s="94">
        <f t="shared" si="9"/>
        <v>0</v>
      </c>
      <c r="AP24" s="94">
        <f t="shared" si="10"/>
        <v>5150587.0380943762</v>
      </c>
      <c r="AQ24" s="94">
        <v>0</v>
      </c>
      <c r="AR24" s="94">
        <v>0</v>
      </c>
      <c r="AS24" s="94">
        <v>0</v>
      </c>
      <c r="AT24" s="94">
        <f t="shared" si="16"/>
        <v>5107370.6459107948</v>
      </c>
      <c r="AU24" s="94">
        <v>0</v>
      </c>
      <c r="AV24" s="94"/>
      <c r="AW24" s="94">
        <f t="shared" si="11"/>
        <v>0</v>
      </c>
      <c r="AX24" s="94">
        <f t="shared" si="17"/>
        <v>0</v>
      </c>
      <c r="AY24">
        <f t="shared" si="12"/>
        <v>41</v>
      </c>
      <c r="AZ24" s="94">
        <f t="shared" si="13"/>
        <v>121604.06299787607</v>
      </c>
      <c r="BA24" s="94">
        <f t="shared" si="14"/>
        <v>4985766.5829129191</v>
      </c>
      <c r="BB24" t="s">
        <v>9</v>
      </c>
      <c r="BC24" t="s">
        <v>56</v>
      </c>
      <c r="BD24" s="9">
        <v>45810.626458333332</v>
      </c>
    </row>
    <row r="25" spans="1:62" x14ac:dyDescent="0.25">
      <c r="A25" s="11"/>
      <c r="B25" s="22" t="s">
        <v>7</v>
      </c>
      <c r="C25" s="123">
        <v>47483</v>
      </c>
      <c r="D25" s="8"/>
      <c r="E25" s="122">
        <v>8</v>
      </c>
      <c r="F25" s="3">
        <v>46265</v>
      </c>
      <c r="G25" s="3">
        <v>45992</v>
      </c>
      <c r="H25" s="3">
        <v>47483</v>
      </c>
      <c r="I25" s="3" t="s">
        <v>61</v>
      </c>
      <c r="J25" s="3">
        <v>47483</v>
      </c>
      <c r="K25" s="3" t="s">
        <v>61</v>
      </c>
      <c r="L25" s="3">
        <v>47483</v>
      </c>
      <c r="M25" s="3">
        <v>47483</v>
      </c>
      <c r="N25" s="122">
        <v>48</v>
      </c>
      <c r="O25" s="3" t="s">
        <v>61</v>
      </c>
      <c r="P25" s="122">
        <v>5</v>
      </c>
      <c r="Q25" s="3">
        <v>47818</v>
      </c>
      <c r="R25" s="3">
        <v>47483</v>
      </c>
      <c r="S25" s="122">
        <v>48</v>
      </c>
      <c r="T25" s="5">
        <v>0.08</v>
      </c>
      <c r="U25" s="5">
        <v>0.11</v>
      </c>
      <c r="V25" t="s">
        <v>134</v>
      </c>
      <c r="W25" s="5">
        <v>8.7345938235519061E-3</v>
      </c>
      <c r="Y25" s="94">
        <v>150000</v>
      </c>
      <c r="Z25" s="94">
        <v>0</v>
      </c>
      <c r="AA25" s="94">
        <f t="shared" si="1"/>
        <v>150000</v>
      </c>
      <c r="AB25" s="94"/>
      <c r="AC25" s="94">
        <f t="shared" si="2"/>
        <v>150000</v>
      </c>
      <c r="AD25" s="94">
        <v>0</v>
      </c>
      <c r="AE25" s="94">
        <v>0</v>
      </c>
      <c r="AF25" s="94">
        <v>0</v>
      </c>
      <c r="AG25" s="94">
        <f>NPV(W25,AC25:AC65)</f>
        <v>5150587.0380943771</v>
      </c>
      <c r="AH25">
        <f t="shared" si="3"/>
        <v>40</v>
      </c>
      <c r="AI25" s="94">
        <f t="shared" si="4"/>
        <v>0</v>
      </c>
      <c r="AJ25" s="94">
        <f t="shared" si="5"/>
        <v>0</v>
      </c>
      <c r="AK25" s="94">
        <f t="shared" si="6"/>
        <v>0</v>
      </c>
      <c r="AL25" s="94">
        <f t="shared" si="15"/>
        <v>5150587.0380943762</v>
      </c>
      <c r="AM25" s="94">
        <f t="shared" si="7"/>
        <v>44988.285730605654</v>
      </c>
      <c r="AN25" s="94">
        <f t="shared" si="8"/>
        <v>-150000</v>
      </c>
      <c r="AO25" s="94">
        <f t="shared" si="9"/>
        <v>0</v>
      </c>
      <c r="AP25" s="94">
        <f t="shared" si="10"/>
        <v>5045575.3238249822</v>
      </c>
      <c r="AQ25" s="94">
        <v>0</v>
      </c>
      <c r="AR25" s="94">
        <v>0</v>
      </c>
      <c r="AS25" s="94">
        <v>0</v>
      </c>
      <c r="AT25" s="94">
        <f t="shared" si="16"/>
        <v>4985766.5829129191</v>
      </c>
      <c r="AU25" s="94">
        <v>0</v>
      </c>
      <c r="AV25" s="94"/>
      <c r="AW25" s="94">
        <f t="shared" si="11"/>
        <v>0</v>
      </c>
      <c r="AX25" s="94">
        <f t="shared" si="17"/>
        <v>0</v>
      </c>
      <c r="AY25">
        <f t="shared" si="12"/>
        <v>40</v>
      </c>
      <c r="AZ25" s="94">
        <f t="shared" si="13"/>
        <v>121604.06299787607</v>
      </c>
      <c r="BA25" s="94">
        <f t="shared" si="14"/>
        <v>4864162.5199150434</v>
      </c>
      <c r="BB25" t="s">
        <v>9</v>
      </c>
      <c r="BC25" t="s">
        <v>56</v>
      </c>
      <c r="BD25" s="9">
        <v>45810.626458333332</v>
      </c>
    </row>
    <row r="26" spans="1:62" x14ac:dyDescent="0.25">
      <c r="A26" s="11"/>
      <c r="B26" s="22"/>
      <c r="C26" s="23"/>
      <c r="D26" s="8"/>
      <c r="E26" s="122">
        <v>9</v>
      </c>
      <c r="F26" s="3">
        <v>46295</v>
      </c>
      <c r="G26" s="3">
        <v>45992</v>
      </c>
      <c r="H26" s="3">
        <v>47483</v>
      </c>
      <c r="I26" s="3" t="s">
        <v>61</v>
      </c>
      <c r="J26" s="3">
        <v>47483</v>
      </c>
      <c r="K26" s="3" t="s">
        <v>61</v>
      </c>
      <c r="L26" s="3">
        <v>47483</v>
      </c>
      <c r="M26" s="3">
        <v>47483</v>
      </c>
      <c r="N26" s="122">
        <v>48</v>
      </c>
      <c r="O26" s="3" t="s">
        <v>61</v>
      </c>
      <c r="P26" s="122">
        <v>5</v>
      </c>
      <c r="Q26" s="3">
        <v>47818</v>
      </c>
      <c r="R26" s="3">
        <v>47483</v>
      </c>
      <c r="S26" s="122">
        <v>48</v>
      </c>
      <c r="T26" s="5">
        <v>0.08</v>
      </c>
      <c r="U26" s="5">
        <v>0.11</v>
      </c>
      <c r="V26" t="s">
        <v>134</v>
      </c>
      <c r="W26" s="5">
        <v>8.7345938235519061E-3</v>
      </c>
      <c r="Y26" s="94">
        <v>150000</v>
      </c>
      <c r="Z26" s="94">
        <v>0</v>
      </c>
      <c r="AA26" s="94">
        <f t="shared" si="1"/>
        <v>150000</v>
      </c>
      <c r="AB26" s="94"/>
      <c r="AC26" s="94">
        <f t="shared" si="2"/>
        <v>150000</v>
      </c>
      <c r="AD26" s="94">
        <v>0</v>
      </c>
      <c r="AE26" s="94">
        <v>0</v>
      </c>
      <c r="AF26" s="94">
        <v>0</v>
      </c>
      <c r="AG26" s="94">
        <f>NPV(W26,AC26:AC65)</f>
        <v>5045575.3238249831</v>
      </c>
      <c r="AH26">
        <f t="shared" si="3"/>
        <v>39</v>
      </c>
      <c r="AI26" s="94">
        <f t="shared" si="4"/>
        <v>0</v>
      </c>
      <c r="AJ26" s="94">
        <f t="shared" si="5"/>
        <v>0</v>
      </c>
      <c r="AK26" s="94">
        <f t="shared" si="6"/>
        <v>0</v>
      </c>
      <c r="AL26" s="94">
        <f t="shared" si="15"/>
        <v>5045575.3238249822</v>
      </c>
      <c r="AM26" s="94">
        <f t="shared" si="7"/>
        <v>44071.051059747602</v>
      </c>
      <c r="AN26" s="94">
        <f t="shared" si="8"/>
        <v>-150000</v>
      </c>
      <c r="AO26" s="94">
        <f t="shared" si="9"/>
        <v>0</v>
      </c>
      <c r="AP26" s="94">
        <f t="shared" si="10"/>
        <v>4939646.3748847302</v>
      </c>
      <c r="AQ26" s="94">
        <v>0</v>
      </c>
      <c r="AR26" s="94">
        <v>0</v>
      </c>
      <c r="AS26" s="94">
        <v>0</v>
      </c>
      <c r="AT26" s="94">
        <f t="shared" si="16"/>
        <v>4864162.5199150434</v>
      </c>
      <c r="AU26" s="94">
        <v>0</v>
      </c>
      <c r="AV26" s="94"/>
      <c r="AW26" s="94">
        <f t="shared" si="11"/>
        <v>0</v>
      </c>
      <c r="AX26" s="94">
        <f t="shared" si="17"/>
        <v>0</v>
      </c>
      <c r="AY26">
        <f t="shared" si="12"/>
        <v>39</v>
      </c>
      <c r="AZ26" s="94">
        <f t="shared" si="13"/>
        <v>121604.06299787608</v>
      </c>
      <c r="BA26" s="94">
        <f t="shared" si="14"/>
        <v>4742558.4569171676</v>
      </c>
      <c r="BB26" t="s">
        <v>9</v>
      </c>
      <c r="BC26" t="s">
        <v>56</v>
      </c>
      <c r="BD26" s="9">
        <v>45810.626458333332</v>
      </c>
    </row>
    <row r="27" spans="1:62" x14ac:dyDescent="0.25">
      <c r="A27" s="11"/>
      <c r="B27" s="22" t="s">
        <v>0</v>
      </c>
      <c r="C27" s="25" t="s">
        <v>61</v>
      </c>
      <c r="D27" s="8"/>
      <c r="E27" s="122">
        <v>10</v>
      </c>
      <c r="F27" s="3">
        <v>46326</v>
      </c>
      <c r="G27" s="3">
        <v>45992</v>
      </c>
      <c r="H27" s="3">
        <v>47483</v>
      </c>
      <c r="I27" s="3" t="s">
        <v>61</v>
      </c>
      <c r="J27" s="3">
        <v>47483</v>
      </c>
      <c r="K27" s="3" t="s">
        <v>61</v>
      </c>
      <c r="L27" s="3">
        <v>47483</v>
      </c>
      <c r="M27" s="3">
        <v>47483</v>
      </c>
      <c r="N27" s="122">
        <v>48</v>
      </c>
      <c r="O27" s="3" t="s">
        <v>61</v>
      </c>
      <c r="P27" s="122">
        <v>5</v>
      </c>
      <c r="Q27" s="3">
        <v>47818</v>
      </c>
      <c r="R27" s="3">
        <v>47483</v>
      </c>
      <c r="S27" s="122">
        <v>48</v>
      </c>
      <c r="T27" s="5">
        <v>0.08</v>
      </c>
      <c r="U27" s="5">
        <v>0.11</v>
      </c>
      <c r="V27" t="s">
        <v>134</v>
      </c>
      <c r="W27" s="5">
        <v>8.7345938235519061E-3</v>
      </c>
      <c r="Y27" s="94">
        <v>150000</v>
      </c>
      <c r="Z27" s="94">
        <v>0</v>
      </c>
      <c r="AA27" s="94">
        <f t="shared" si="1"/>
        <v>150000</v>
      </c>
      <c r="AB27" s="94"/>
      <c r="AC27" s="94">
        <f t="shared" si="2"/>
        <v>150000</v>
      </c>
      <c r="AD27" s="94">
        <v>0</v>
      </c>
      <c r="AE27" s="94">
        <v>0</v>
      </c>
      <c r="AF27" s="94">
        <v>0</v>
      </c>
      <c r="AG27" s="94">
        <f>NPV(W27,AC27:AC65)</f>
        <v>4939646.3748847311</v>
      </c>
      <c r="AH27">
        <f t="shared" si="3"/>
        <v>38</v>
      </c>
      <c r="AI27" s="94">
        <f t="shared" si="4"/>
        <v>0</v>
      </c>
      <c r="AJ27" s="94">
        <f t="shared" si="5"/>
        <v>0</v>
      </c>
      <c r="AK27" s="94">
        <f t="shared" si="6"/>
        <v>0</v>
      </c>
      <c r="AL27" s="94">
        <f t="shared" si="15"/>
        <v>4939646.3748847302</v>
      </c>
      <c r="AM27" s="94">
        <f t="shared" si="7"/>
        <v>43145.804716598737</v>
      </c>
      <c r="AN27" s="94">
        <f t="shared" si="8"/>
        <v>-150000</v>
      </c>
      <c r="AO27" s="94">
        <f t="shared" si="9"/>
        <v>0</v>
      </c>
      <c r="AP27" s="94">
        <f t="shared" si="10"/>
        <v>4832792.1796013294</v>
      </c>
      <c r="AQ27" s="94">
        <v>0</v>
      </c>
      <c r="AR27" s="94">
        <v>0</v>
      </c>
      <c r="AS27" s="94">
        <v>0</v>
      </c>
      <c r="AT27" s="94">
        <f t="shared" si="16"/>
        <v>4742558.4569171676</v>
      </c>
      <c r="AU27" s="94">
        <v>0</v>
      </c>
      <c r="AV27" s="94"/>
      <c r="AW27" s="94">
        <f t="shared" si="11"/>
        <v>0</v>
      </c>
      <c r="AX27" s="94">
        <f t="shared" si="17"/>
        <v>0</v>
      </c>
      <c r="AY27">
        <f t="shared" si="12"/>
        <v>38</v>
      </c>
      <c r="AZ27" s="94">
        <f t="shared" si="13"/>
        <v>121604.0629978761</v>
      </c>
      <c r="BA27" s="94">
        <f t="shared" si="14"/>
        <v>4620954.3939192919</v>
      </c>
      <c r="BB27" t="s">
        <v>9</v>
      </c>
      <c r="BC27" t="s">
        <v>56</v>
      </c>
      <c r="BD27" s="9">
        <v>45810.626458333332</v>
      </c>
    </row>
    <row r="28" spans="1:62" x14ac:dyDescent="0.25">
      <c r="A28" s="11"/>
      <c r="B28" s="22" t="s">
        <v>1</v>
      </c>
      <c r="C28" s="26">
        <v>47483</v>
      </c>
      <c r="D28" s="8"/>
      <c r="E28" s="122">
        <v>11</v>
      </c>
      <c r="F28" s="3">
        <v>46356</v>
      </c>
      <c r="G28" s="3">
        <v>45992</v>
      </c>
      <c r="H28" s="3">
        <v>47483</v>
      </c>
      <c r="I28" s="3" t="s">
        <v>61</v>
      </c>
      <c r="J28" s="3">
        <v>47483</v>
      </c>
      <c r="K28" s="3" t="s">
        <v>61</v>
      </c>
      <c r="L28" s="3">
        <v>47483</v>
      </c>
      <c r="M28" s="3">
        <v>47483</v>
      </c>
      <c r="N28" s="122">
        <v>48</v>
      </c>
      <c r="O28" s="3" t="s">
        <v>61</v>
      </c>
      <c r="P28" s="122">
        <v>5</v>
      </c>
      <c r="Q28" s="3">
        <v>47818</v>
      </c>
      <c r="R28" s="3">
        <v>47483</v>
      </c>
      <c r="S28" s="122">
        <v>48</v>
      </c>
      <c r="T28" s="5">
        <v>0.08</v>
      </c>
      <c r="U28" s="5">
        <v>0.11</v>
      </c>
      <c r="V28" t="s">
        <v>134</v>
      </c>
      <c r="W28" s="5">
        <v>8.7345938235519061E-3</v>
      </c>
      <c r="Y28" s="94">
        <v>150000</v>
      </c>
      <c r="Z28" s="94">
        <v>0</v>
      </c>
      <c r="AA28" s="94">
        <f t="shared" si="1"/>
        <v>150000</v>
      </c>
      <c r="AB28" s="94"/>
      <c r="AC28" s="94">
        <f t="shared" si="2"/>
        <v>150000</v>
      </c>
      <c r="AD28" s="94">
        <v>0</v>
      </c>
      <c r="AE28" s="94">
        <v>0</v>
      </c>
      <c r="AF28" s="94">
        <v>0</v>
      </c>
      <c r="AG28" s="94">
        <f>NPV(W28,AC28:AC65)</f>
        <v>4832792.1796013303</v>
      </c>
      <c r="AH28">
        <f t="shared" si="3"/>
        <v>37</v>
      </c>
      <c r="AI28" s="94">
        <f t="shared" si="4"/>
        <v>0</v>
      </c>
      <c r="AJ28" s="94">
        <f t="shared" si="5"/>
        <v>0</v>
      </c>
      <c r="AK28" s="94">
        <f t="shared" si="6"/>
        <v>0</v>
      </c>
      <c r="AL28" s="94">
        <f t="shared" si="15"/>
        <v>4832792.1796013294</v>
      </c>
      <c r="AM28" s="94">
        <f t="shared" si="7"/>
        <v>42212.476722455736</v>
      </c>
      <c r="AN28" s="94">
        <f t="shared" si="8"/>
        <v>-150000</v>
      </c>
      <c r="AO28" s="94">
        <f t="shared" si="9"/>
        <v>0</v>
      </c>
      <c r="AP28" s="94">
        <f t="shared" si="10"/>
        <v>4725004.656323785</v>
      </c>
      <c r="AQ28" s="94">
        <v>0</v>
      </c>
      <c r="AR28" s="94">
        <v>0</v>
      </c>
      <c r="AS28" s="94">
        <v>0</v>
      </c>
      <c r="AT28" s="94">
        <f t="shared" si="16"/>
        <v>4620954.3939192919</v>
      </c>
      <c r="AU28" s="94">
        <v>0</v>
      </c>
      <c r="AV28" s="94"/>
      <c r="AW28" s="94">
        <f t="shared" si="11"/>
        <v>0</v>
      </c>
      <c r="AX28" s="94">
        <f t="shared" si="17"/>
        <v>0</v>
      </c>
      <c r="AY28">
        <f t="shared" si="12"/>
        <v>37</v>
      </c>
      <c r="AZ28" s="94">
        <f t="shared" si="13"/>
        <v>121604.0629978761</v>
      </c>
      <c r="BA28" s="94">
        <f t="shared" si="14"/>
        <v>4499350.3309214162</v>
      </c>
      <c r="BB28" t="s">
        <v>9</v>
      </c>
      <c r="BC28" t="s">
        <v>56</v>
      </c>
      <c r="BD28" s="9">
        <v>45810.626458333332</v>
      </c>
      <c r="BF28" s="4"/>
    </row>
    <row r="29" spans="1:62" x14ac:dyDescent="0.25">
      <c r="A29" s="11"/>
      <c r="B29" s="22"/>
      <c r="C29" s="23"/>
      <c r="D29" s="8"/>
      <c r="E29" s="122">
        <v>12</v>
      </c>
      <c r="F29" s="3">
        <v>46387</v>
      </c>
      <c r="G29" s="3">
        <v>45992</v>
      </c>
      <c r="H29" s="3">
        <v>47483</v>
      </c>
      <c r="I29" s="3" t="s">
        <v>61</v>
      </c>
      <c r="J29" s="3">
        <v>47483</v>
      </c>
      <c r="K29" s="3" t="s">
        <v>61</v>
      </c>
      <c r="L29" s="3">
        <v>47483</v>
      </c>
      <c r="M29" s="3">
        <v>47483</v>
      </c>
      <c r="N29" s="122">
        <v>48</v>
      </c>
      <c r="O29" s="3" t="s">
        <v>61</v>
      </c>
      <c r="P29" s="122">
        <v>5</v>
      </c>
      <c r="Q29" s="3">
        <v>47818</v>
      </c>
      <c r="R29" s="3">
        <v>47483</v>
      </c>
      <c r="S29" s="122">
        <v>48</v>
      </c>
      <c r="T29" s="5">
        <v>0.08</v>
      </c>
      <c r="U29" s="5">
        <v>0.11</v>
      </c>
      <c r="V29" t="s">
        <v>134</v>
      </c>
      <c r="W29" s="5">
        <v>8.7345938235519061E-3</v>
      </c>
      <c r="Y29" s="94">
        <v>150000</v>
      </c>
      <c r="Z29" s="94">
        <v>0</v>
      </c>
      <c r="AA29" s="94">
        <f t="shared" si="1"/>
        <v>150000</v>
      </c>
      <c r="AB29" s="94"/>
      <c r="AC29" s="94">
        <f t="shared" si="2"/>
        <v>150000</v>
      </c>
      <c r="AD29" s="94">
        <v>0</v>
      </c>
      <c r="AE29" s="94">
        <v>0</v>
      </c>
      <c r="AF29" s="94">
        <v>0</v>
      </c>
      <c r="AG29" s="94">
        <f>NPV(W29,AC29:AC65)</f>
        <v>4725004.6563237859</v>
      </c>
      <c r="AH29">
        <f t="shared" si="3"/>
        <v>36</v>
      </c>
      <c r="AI29" s="94">
        <f t="shared" si="4"/>
        <v>0</v>
      </c>
      <c r="AJ29" s="94">
        <f t="shared" si="5"/>
        <v>0</v>
      </c>
      <c r="AK29" s="94">
        <f t="shared" si="6"/>
        <v>0</v>
      </c>
      <c r="AL29" s="94">
        <f t="shared" si="15"/>
        <v>4725004.656323785</v>
      </c>
      <c r="AM29" s="94">
        <f t="shared" si="7"/>
        <v>41270.996487379736</v>
      </c>
      <c r="AN29" s="94">
        <f t="shared" si="8"/>
        <v>-150000</v>
      </c>
      <c r="AO29" s="94">
        <f t="shared" si="9"/>
        <v>0</v>
      </c>
      <c r="AP29" s="94">
        <f t="shared" si="10"/>
        <v>4616275.652811165</v>
      </c>
      <c r="AQ29" s="94">
        <v>0</v>
      </c>
      <c r="AR29" s="94">
        <v>0</v>
      </c>
      <c r="AS29" s="94">
        <v>0</v>
      </c>
      <c r="AT29" s="94">
        <f t="shared" si="16"/>
        <v>4499350.3309214162</v>
      </c>
      <c r="AU29" s="94">
        <v>0</v>
      </c>
      <c r="AV29" s="94"/>
      <c r="AW29" s="94">
        <f t="shared" si="11"/>
        <v>0</v>
      </c>
      <c r="AX29" s="94">
        <f t="shared" si="17"/>
        <v>0</v>
      </c>
      <c r="AY29">
        <f t="shared" si="12"/>
        <v>36</v>
      </c>
      <c r="AZ29" s="94">
        <f t="shared" si="13"/>
        <v>121604.06299787611</v>
      </c>
      <c r="BA29" s="94">
        <f t="shared" si="14"/>
        <v>4377746.2679235404</v>
      </c>
      <c r="BB29" t="s">
        <v>9</v>
      </c>
      <c r="BC29" t="s">
        <v>56</v>
      </c>
      <c r="BD29" s="9">
        <v>45810.626458333332</v>
      </c>
      <c r="BF29" s="4"/>
    </row>
    <row r="30" spans="1:62" x14ac:dyDescent="0.25">
      <c r="A30" s="11"/>
      <c r="B30" s="22" t="s">
        <v>2</v>
      </c>
      <c r="C30" s="25" t="s">
        <v>61</v>
      </c>
      <c r="D30" s="8"/>
      <c r="E30" s="122">
        <v>13</v>
      </c>
      <c r="F30" s="3">
        <v>46418</v>
      </c>
      <c r="G30" s="3">
        <v>45992</v>
      </c>
      <c r="H30" s="3">
        <v>47483</v>
      </c>
      <c r="I30" s="3" t="s">
        <v>61</v>
      </c>
      <c r="J30" s="3">
        <v>47483</v>
      </c>
      <c r="K30" s="3" t="s">
        <v>61</v>
      </c>
      <c r="L30" s="3">
        <v>47483</v>
      </c>
      <c r="M30" s="3">
        <v>47483</v>
      </c>
      <c r="N30" s="122">
        <v>48</v>
      </c>
      <c r="O30" s="3" t="s">
        <v>61</v>
      </c>
      <c r="P30" s="122">
        <v>5</v>
      </c>
      <c r="Q30" s="3">
        <v>47818</v>
      </c>
      <c r="R30" s="3">
        <v>47483</v>
      </c>
      <c r="S30" s="122">
        <v>48</v>
      </c>
      <c r="T30" s="5">
        <v>0.08</v>
      </c>
      <c r="U30" s="5">
        <v>0.11</v>
      </c>
      <c r="V30" t="s">
        <v>134</v>
      </c>
      <c r="W30" s="5">
        <v>8.7345938235519061E-3</v>
      </c>
      <c r="Y30" s="94">
        <v>150000</v>
      </c>
      <c r="Z30" s="94">
        <v>0</v>
      </c>
      <c r="AA30" s="94">
        <f t="shared" si="1"/>
        <v>150000</v>
      </c>
      <c r="AB30" s="94"/>
      <c r="AC30" s="94">
        <f t="shared" si="2"/>
        <v>150000</v>
      </c>
      <c r="AD30" s="94">
        <v>0</v>
      </c>
      <c r="AE30" s="94">
        <v>0</v>
      </c>
      <c r="AF30" s="94">
        <v>0</v>
      </c>
      <c r="AG30" s="94">
        <f>NPV(W30,AC30:AC65)</f>
        <v>4616275.6528111659</v>
      </c>
      <c r="AH30">
        <f t="shared" si="3"/>
        <v>35</v>
      </c>
      <c r="AI30" s="94">
        <f t="shared" si="4"/>
        <v>0</v>
      </c>
      <c r="AJ30" s="94">
        <f t="shared" si="5"/>
        <v>0</v>
      </c>
      <c r="AK30" s="94">
        <f t="shared" si="6"/>
        <v>0</v>
      </c>
      <c r="AL30" s="94">
        <f t="shared" si="15"/>
        <v>4616275.652811165</v>
      </c>
      <c r="AM30" s="94">
        <f t="shared" si="7"/>
        <v>40321.292804857454</v>
      </c>
      <c r="AN30" s="94">
        <f t="shared" si="8"/>
        <v>-150000</v>
      </c>
      <c r="AO30" s="94">
        <f t="shared" si="9"/>
        <v>0</v>
      </c>
      <c r="AP30" s="94">
        <f t="shared" si="10"/>
        <v>4506596.9456160227</v>
      </c>
      <c r="AQ30" s="94">
        <v>0</v>
      </c>
      <c r="AR30" s="94">
        <v>0</v>
      </c>
      <c r="AS30" s="94">
        <v>0</v>
      </c>
      <c r="AT30" s="94">
        <f t="shared" si="16"/>
        <v>4377746.2679235404</v>
      </c>
      <c r="AU30" s="94">
        <v>0</v>
      </c>
      <c r="AV30" s="94"/>
      <c r="AW30" s="94">
        <f t="shared" si="11"/>
        <v>0</v>
      </c>
      <c r="AX30" s="94">
        <f t="shared" si="17"/>
        <v>0</v>
      </c>
      <c r="AY30">
        <f t="shared" si="12"/>
        <v>35</v>
      </c>
      <c r="AZ30" s="94">
        <f t="shared" si="13"/>
        <v>121604.06299787613</v>
      </c>
      <c r="BA30" s="94">
        <f t="shared" si="14"/>
        <v>4256142.2049256647</v>
      </c>
      <c r="BB30" t="s">
        <v>9</v>
      </c>
      <c r="BC30" t="s">
        <v>56</v>
      </c>
      <c r="BD30" s="9">
        <v>45810.626458333332</v>
      </c>
      <c r="BF30" s="4"/>
    </row>
    <row r="31" spans="1:62" x14ac:dyDescent="0.25">
      <c r="A31" s="11"/>
      <c r="B31" s="22" t="s">
        <v>3</v>
      </c>
      <c r="C31" s="26">
        <v>47483</v>
      </c>
      <c r="D31" s="8"/>
      <c r="E31" s="122">
        <v>14</v>
      </c>
      <c r="F31" s="3">
        <v>46446</v>
      </c>
      <c r="G31" s="3">
        <v>45992</v>
      </c>
      <c r="H31" s="3">
        <v>47483</v>
      </c>
      <c r="I31" s="3" t="s">
        <v>61</v>
      </c>
      <c r="J31" s="3">
        <v>47483</v>
      </c>
      <c r="K31" s="3" t="s">
        <v>61</v>
      </c>
      <c r="L31" s="3">
        <v>47483</v>
      </c>
      <c r="M31" s="3">
        <v>47483</v>
      </c>
      <c r="N31" s="122">
        <v>48</v>
      </c>
      <c r="O31" s="3" t="s">
        <v>61</v>
      </c>
      <c r="P31" s="122">
        <v>5</v>
      </c>
      <c r="Q31" s="3">
        <v>47818</v>
      </c>
      <c r="R31" s="3">
        <v>47483</v>
      </c>
      <c r="S31" s="122">
        <v>48</v>
      </c>
      <c r="T31" s="5">
        <v>0.08</v>
      </c>
      <c r="U31" s="5">
        <v>0.11</v>
      </c>
      <c r="V31" t="s">
        <v>134</v>
      </c>
      <c r="W31" s="5">
        <v>8.7345938235519061E-3</v>
      </c>
      <c r="Y31" s="94">
        <v>150000</v>
      </c>
      <c r="Z31" s="94">
        <v>0</v>
      </c>
      <c r="AA31" s="94">
        <f t="shared" si="1"/>
        <v>150000</v>
      </c>
      <c r="AB31" s="94"/>
      <c r="AC31" s="94">
        <f t="shared" si="2"/>
        <v>150000</v>
      </c>
      <c r="AD31" s="94">
        <v>0</v>
      </c>
      <c r="AE31" s="94">
        <v>0</v>
      </c>
      <c r="AF31" s="94">
        <v>0</v>
      </c>
      <c r="AG31" s="94">
        <f>NPV(W31,AC31:AC65)</f>
        <v>4506596.9456160236</v>
      </c>
      <c r="AH31">
        <f t="shared" si="3"/>
        <v>34</v>
      </c>
      <c r="AI31" s="94">
        <f t="shared" si="4"/>
        <v>0</v>
      </c>
      <c r="AJ31" s="94">
        <f t="shared" si="5"/>
        <v>0</v>
      </c>
      <c r="AK31" s="94">
        <f t="shared" si="6"/>
        <v>0</v>
      </c>
      <c r="AL31" s="94">
        <f t="shared" si="15"/>
        <v>4506596.9456160227</v>
      </c>
      <c r="AM31" s="94">
        <f t="shared" si="7"/>
        <v>39363.293846415603</v>
      </c>
      <c r="AN31" s="94">
        <f t="shared" si="8"/>
        <v>-150000</v>
      </c>
      <c r="AO31" s="94">
        <f t="shared" si="9"/>
        <v>0</v>
      </c>
      <c r="AP31" s="94">
        <f t="shared" si="10"/>
        <v>4395960.239462438</v>
      </c>
      <c r="AQ31" s="94">
        <v>0</v>
      </c>
      <c r="AR31" s="94">
        <v>0</v>
      </c>
      <c r="AS31" s="94">
        <v>0</v>
      </c>
      <c r="AT31" s="94">
        <f t="shared" si="16"/>
        <v>4256142.2049256647</v>
      </c>
      <c r="AU31" s="94">
        <v>0</v>
      </c>
      <c r="AV31" s="94"/>
      <c r="AW31" s="94">
        <f t="shared" si="11"/>
        <v>0</v>
      </c>
      <c r="AX31" s="94">
        <f t="shared" si="17"/>
        <v>0</v>
      </c>
      <c r="AY31">
        <f t="shared" si="12"/>
        <v>34</v>
      </c>
      <c r="AZ31" s="94">
        <f t="shared" si="13"/>
        <v>121604.06299787613</v>
      </c>
      <c r="BA31" s="94">
        <f t="shared" si="14"/>
        <v>4134538.1419277885</v>
      </c>
      <c r="BB31" t="s">
        <v>9</v>
      </c>
      <c r="BC31" t="s">
        <v>56</v>
      </c>
      <c r="BD31" s="9">
        <v>45810.626458333332</v>
      </c>
      <c r="BF31" s="4"/>
    </row>
    <row r="32" spans="1:62" x14ac:dyDescent="0.25">
      <c r="A32" s="11"/>
      <c r="B32" s="22"/>
      <c r="C32" s="23"/>
      <c r="D32" s="8"/>
      <c r="E32" s="122">
        <v>15</v>
      </c>
      <c r="F32" s="3">
        <v>46477</v>
      </c>
      <c r="G32" s="3">
        <v>45992</v>
      </c>
      <c r="H32" s="3">
        <v>47483</v>
      </c>
      <c r="I32" s="3" t="s">
        <v>61</v>
      </c>
      <c r="J32" s="3">
        <v>47483</v>
      </c>
      <c r="K32" s="3" t="s">
        <v>61</v>
      </c>
      <c r="L32" s="3">
        <v>47483</v>
      </c>
      <c r="M32" s="3">
        <v>47483</v>
      </c>
      <c r="N32" s="122">
        <v>48</v>
      </c>
      <c r="O32" s="3" t="s">
        <v>61</v>
      </c>
      <c r="P32" s="122">
        <v>5</v>
      </c>
      <c r="Q32" s="3">
        <v>47818</v>
      </c>
      <c r="R32" s="3">
        <v>47483</v>
      </c>
      <c r="S32" s="122">
        <v>48</v>
      </c>
      <c r="T32" s="5">
        <v>0.08</v>
      </c>
      <c r="U32" s="5">
        <v>0.11</v>
      </c>
      <c r="V32" t="s">
        <v>134</v>
      </c>
      <c r="W32" s="5">
        <v>8.7345938235519061E-3</v>
      </c>
      <c r="Y32" s="94">
        <v>150000</v>
      </c>
      <c r="Z32" s="94">
        <v>0</v>
      </c>
      <c r="AA32" s="94">
        <f t="shared" si="1"/>
        <v>150000</v>
      </c>
      <c r="AB32" s="94"/>
      <c r="AC32" s="94">
        <f t="shared" si="2"/>
        <v>150000</v>
      </c>
      <c r="AD32" s="94">
        <v>0</v>
      </c>
      <c r="AE32" s="94">
        <v>0</v>
      </c>
      <c r="AF32" s="94">
        <v>0</v>
      </c>
      <c r="AG32" s="94">
        <f>NPV(W32,AC32:AC65)</f>
        <v>4395960.239462439</v>
      </c>
      <c r="AH32">
        <f t="shared" si="3"/>
        <v>33</v>
      </c>
      <c r="AI32" s="94">
        <f t="shared" si="4"/>
        <v>0</v>
      </c>
      <c r="AJ32" s="94">
        <f t="shared" si="5"/>
        <v>0</v>
      </c>
      <c r="AK32" s="94">
        <f t="shared" si="6"/>
        <v>0</v>
      </c>
      <c r="AL32" s="94">
        <f t="shared" si="15"/>
        <v>4395960.239462438</v>
      </c>
      <c r="AM32" s="94">
        <f t="shared" si="7"/>
        <v>38396.92715618838</v>
      </c>
      <c r="AN32" s="94">
        <f t="shared" si="8"/>
        <v>-150000</v>
      </c>
      <c r="AO32" s="94">
        <f t="shared" si="9"/>
        <v>0</v>
      </c>
      <c r="AP32" s="94">
        <f t="shared" si="10"/>
        <v>4284357.1666186266</v>
      </c>
      <c r="AQ32" s="94">
        <v>0</v>
      </c>
      <c r="AR32" s="94">
        <v>0</v>
      </c>
      <c r="AS32" s="94">
        <v>0</v>
      </c>
      <c r="AT32" s="94">
        <f t="shared" si="16"/>
        <v>4134538.1419277885</v>
      </c>
      <c r="AU32" s="94">
        <v>0</v>
      </c>
      <c r="AV32" s="94"/>
      <c r="AW32" s="94">
        <f t="shared" si="11"/>
        <v>0</v>
      </c>
      <c r="AX32" s="94">
        <f t="shared" si="17"/>
        <v>0</v>
      </c>
      <c r="AY32">
        <f t="shared" si="12"/>
        <v>33</v>
      </c>
      <c r="AZ32" s="94">
        <f t="shared" si="13"/>
        <v>121604.06299787613</v>
      </c>
      <c r="BA32" s="94">
        <f t="shared" si="14"/>
        <v>4012934.0789299123</v>
      </c>
      <c r="BB32" t="s">
        <v>9</v>
      </c>
      <c r="BC32" t="s">
        <v>56</v>
      </c>
      <c r="BD32" s="9">
        <v>45810.626458333332</v>
      </c>
      <c r="BF32" s="4"/>
    </row>
    <row r="33" spans="1:56" x14ac:dyDescent="0.25">
      <c r="A33" s="11"/>
      <c r="B33" s="22" t="s">
        <v>6</v>
      </c>
      <c r="C33" s="29">
        <f>+IF(C30="Yes",MIN(EOMONTH(C25,0),EOMONTH(C31,0)),IF(C27="Yes",EOMONTH(C28,0),C25))</f>
        <v>47483</v>
      </c>
      <c r="D33" s="8"/>
      <c r="E33" s="122">
        <v>16</v>
      </c>
      <c r="F33" s="3">
        <v>46507</v>
      </c>
      <c r="G33" s="3">
        <v>45992</v>
      </c>
      <c r="H33" s="3">
        <v>47483</v>
      </c>
      <c r="I33" s="3" t="s">
        <v>61</v>
      </c>
      <c r="J33" s="3">
        <v>47483</v>
      </c>
      <c r="K33" s="3" t="s">
        <v>61</v>
      </c>
      <c r="L33" s="3">
        <v>47483</v>
      </c>
      <c r="M33" s="3">
        <v>47483</v>
      </c>
      <c r="N33" s="122">
        <v>48</v>
      </c>
      <c r="O33" s="3" t="s">
        <v>61</v>
      </c>
      <c r="P33" s="122">
        <v>5</v>
      </c>
      <c r="Q33" s="3">
        <v>47818</v>
      </c>
      <c r="R33" s="3">
        <v>47483</v>
      </c>
      <c r="S33" s="122">
        <v>48</v>
      </c>
      <c r="T33" s="5">
        <v>0.08</v>
      </c>
      <c r="U33" s="5">
        <v>0.11</v>
      </c>
      <c r="V33" t="s">
        <v>134</v>
      </c>
      <c r="W33" s="5">
        <v>8.7345938235519061E-3</v>
      </c>
      <c r="Y33" s="94">
        <v>150000</v>
      </c>
      <c r="Z33" s="94">
        <v>0</v>
      </c>
      <c r="AA33" s="94">
        <f t="shared" si="1"/>
        <v>150000</v>
      </c>
      <c r="AB33" s="94"/>
      <c r="AC33" s="94">
        <f t="shared" si="2"/>
        <v>150000</v>
      </c>
      <c r="AD33" s="94">
        <v>0</v>
      </c>
      <c r="AE33" s="94">
        <v>0</v>
      </c>
      <c r="AF33" s="94">
        <v>0</v>
      </c>
      <c r="AG33" s="94">
        <f>NPV(W33,AC33:AC65)</f>
        <v>4284357.1666186275</v>
      </c>
      <c r="AH33">
        <f t="shared" si="3"/>
        <v>32</v>
      </c>
      <c r="AI33" s="94">
        <f t="shared" si="4"/>
        <v>0</v>
      </c>
      <c r="AJ33" s="94">
        <f t="shared" si="5"/>
        <v>0</v>
      </c>
      <c r="AK33" s="94">
        <f t="shared" si="6"/>
        <v>0</v>
      </c>
      <c r="AL33" s="94">
        <f t="shared" si="15"/>
        <v>4284357.1666186266</v>
      </c>
      <c r="AM33" s="94">
        <f t="shared" si="7"/>
        <v>37422.119645437408</v>
      </c>
      <c r="AN33" s="94">
        <f t="shared" si="8"/>
        <v>-150000</v>
      </c>
      <c r="AO33" s="94">
        <f t="shared" si="9"/>
        <v>0</v>
      </c>
      <c r="AP33" s="94">
        <f t="shared" si="10"/>
        <v>4171779.2862640638</v>
      </c>
      <c r="AQ33" s="94">
        <v>0</v>
      </c>
      <c r="AR33" s="94">
        <v>0</v>
      </c>
      <c r="AS33" s="94">
        <v>0</v>
      </c>
      <c r="AT33" s="94">
        <f t="shared" si="16"/>
        <v>4012934.0789299123</v>
      </c>
      <c r="AU33" s="94">
        <v>0</v>
      </c>
      <c r="AV33" s="94"/>
      <c r="AW33" s="94">
        <f t="shared" si="11"/>
        <v>0</v>
      </c>
      <c r="AX33" s="94">
        <f t="shared" si="17"/>
        <v>0</v>
      </c>
      <c r="AY33">
        <f t="shared" si="12"/>
        <v>32</v>
      </c>
      <c r="AZ33" s="94">
        <f t="shared" si="13"/>
        <v>121604.06299787613</v>
      </c>
      <c r="BA33" s="94">
        <f t="shared" si="14"/>
        <v>3891330.0159320361</v>
      </c>
      <c r="BB33" t="s">
        <v>9</v>
      </c>
      <c r="BC33" t="s">
        <v>56</v>
      </c>
      <c r="BD33" s="9">
        <v>45810.626458333332</v>
      </c>
    </row>
    <row r="34" spans="1:56" x14ac:dyDescent="0.25">
      <c r="A34" s="11"/>
      <c r="B34" s="30" t="s">
        <v>15</v>
      </c>
      <c r="C34" s="31">
        <f>(YEAR(C33)-YEAR(C24))*12+MONTH(C33)-MONTH(C24)</f>
        <v>48</v>
      </c>
      <c r="D34" s="8"/>
      <c r="E34" s="122">
        <v>17</v>
      </c>
      <c r="F34" s="3">
        <v>46538</v>
      </c>
      <c r="G34" s="3">
        <v>45992</v>
      </c>
      <c r="H34" s="3">
        <v>47483</v>
      </c>
      <c r="I34" s="3" t="s">
        <v>61</v>
      </c>
      <c r="J34" s="3">
        <v>47483</v>
      </c>
      <c r="K34" s="3" t="s">
        <v>61</v>
      </c>
      <c r="L34" s="3">
        <v>47483</v>
      </c>
      <c r="M34" s="3">
        <v>47483</v>
      </c>
      <c r="N34" s="122">
        <v>48</v>
      </c>
      <c r="O34" s="3" t="s">
        <v>61</v>
      </c>
      <c r="P34" s="122">
        <v>5</v>
      </c>
      <c r="Q34" s="3">
        <v>47818</v>
      </c>
      <c r="R34" s="3">
        <v>47483</v>
      </c>
      <c r="S34" s="122">
        <v>48</v>
      </c>
      <c r="T34" s="5">
        <v>0.08</v>
      </c>
      <c r="U34" s="5">
        <v>0.11</v>
      </c>
      <c r="V34" t="s">
        <v>134</v>
      </c>
      <c r="W34" s="5">
        <v>8.7345938235519061E-3</v>
      </c>
      <c r="Y34" s="94">
        <v>150000</v>
      </c>
      <c r="Z34" s="94">
        <v>0</v>
      </c>
      <c r="AA34" s="94">
        <f t="shared" si="1"/>
        <v>150000</v>
      </c>
      <c r="AB34" s="94"/>
      <c r="AC34" s="94">
        <f t="shared" si="2"/>
        <v>150000</v>
      </c>
      <c r="AD34" s="94">
        <v>0</v>
      </c>
      <c r="AE34" s="94">
        <v>0</v>
      </c>
      <c r="AF34" s="94">
        <v>0</v>
      </c>
      <c r="AG34" s="94">
        <f>NPV(W34,AC34:AC65)</f>
        <v>4171779.2862640647</v>
      </c>
      <c r="AH34">
        <f t="shared" si="3"/>
        <v>31</v>
      </c>
      <c r="AI34" s="94">
        <f t="shared" si="4"/>
        <v>0</v>
      </c>
      <c r="AJ34" s="94">
        <f t="shared" si="5"/>
        <v>0</v>
      </c>
      <c r="AK34" s="94">
        <f t="shared" si="6"/>
        <v>0</v>
      </c>
      <c r="AL34" s="94">
        <f t="shared" si="15"/>
        <v>4171779.2862640638</v>
      </c>
      <c r="AM34" s="94">
        <f t="shared" si="7"/>
        <v>36438.797587023881</v>
      </c>
      <c r="AN34" s="94">
        <f t="shared" si="8"/>
        <v>-150000</v>
      </c>
      <c r="AO34" s="94">
        <f t="shared" si="9"/>
        <v>0</v>
      </c>
      <c r="AP34" s="94">
        <f t="shared" si="10"/>
        <v>4058218.0838510878</v>
      </c>
      <c r="AQ34" s="94">
        <v>0</v>
      </c>
      <c r="AR34" s="94">
        <v>0</v>
      </c>
      <c r="AS34" s="94">
        <v>0</v>
      </c>
      <c r="AT34" s="94">
        <f t="shared" si="16"/>
        <v>3891330.0159320361</v>
      </c>
      <c r="AU34" s="94">
        <v>0</v>
      </c>
      <c r="AV34" s="94"/>
      <c r="AW34" s="94">
        <f t="shared" si="11"/>
        <v>0</v>
      </c>
      <c r="AX34" s="94">
        <f t="shared" si="17"/>
        <v>0</v>
      </c>
      <c r="AY34">
        <f t="shared" si="12"/>
        <v>31</v>
      </c>
      <c r="AZ34" s="94">
        <f t="shared" si="13"/>
        <v>121604.06299787613</v>
      </c>
      <c r="BA34" s="94">
        <f t="shared" si="14"/>
        <v>3769725.9529341599</v>
      </c>
      <c r="BB34" t="s">
        <v>9</v>
      </c>
      <c r="BC34" t="s">
        <v>56</v>
      </c>
      <c r="BD34" s="9">
        <v>45810.626458333332</v>
      </c>
    </row>
    <row r="35" spans="1:56" x14ac:dyDescent="0.25">
      <c r="A35" s="11"/>
      <c r="B35" s="22"/>
      <c r="C35" s="23"/>
      <c r="D35" s="8"/>
      <c r="E35" s="122">
        <v>18</v>
      </c>
      <c r="F35" s="3">
        <v>46568</v>
      </c>
      <c r="G35" s="3">
        <v>45992</v>
      </c>
      <c r="H35" s="3">
        <v>47483</v>
      </c>
      <c r="I35" s="3" t="s">
        <v>61</v>
      </c>
      <c r="J35" s="3">
        <v>47483</v>
      </c>
      <c r="K35" s="3" t="s">
        <v>61</v>
      </c>
      <c r="L35" s="3">
        <v>47483</v>
      </c>
      <c r="M35" s="3">
        <v>47483</v>
      </c>
      <c r="N35" s="122">
        <v>48</v>
      </c>
      <c r="O35" s="3" t="s">
        <v>61</v>
      </c>
      <c r="P35" s="122">
        <v>5</v>
      </c>
      <c r="Q35" s="3">
        <v>47818</v>
      </c>
      <c r="R35" s="3">
        <v>47483</v>
      </c>
      <c r="S35" s="122">
        <v>48</v>
      </c>
      <c r="T35" s="5">
        <v>0.08</v>
      </c>
      <c r="U35" s="5">
        <v>0.11</v>
      </c>
      <c r="V35" t="s">
        <v>134</v>
      </c>
      <c r="W35" s="5">
        <v>8.7345938235519061E-3</v>
      </c>
      <c r="Y35" s="94">
        <v>150000</v>
      </c>
      <c r="Z35" s="94">
        <v>0</v>
      </c>
      <c r="AA35" s="94">
        <f t="shared" si="1"/>
        <v>150000</v>
      </c>
      <c r="AB35" s="94"/>
      <c r="AC35" s="94">
        <f t="shared" si="2"/>
        <v>150000</v>
      </c>
      <c r="AD35" s="94">
        <v>0</v>
      </c>
      <c r="AE35" s="94">
        <v>0</v>
      </c>
      <c r="AF35" s="94">
        <v>0</v>
      </c>
      <c r="AG35" s="94">
        <f>NPV(W35,AC35:AC65)</f>
        <v>4058218.0838510892</v>
      </c>
      <c r="AH35">
        <f t="shared" si="3"/>
        <v>30</v>
      </c>
      <c r="AI35" s="94">
        <f t="shared" si="4"/>
        <v>0</v>
      </c>
      <c r="AJ35" s="94">
        <f t="shared" si="5"/>
        <v>0</v>
      </c>
      <c r="AK35" s="94">
        <f t="shared" si="6"/>
        <v>0</v>
      </c>
      <c r="AL35" s="94">
        <f t="shared" si="15"/>
        <v>4058218.0838510878</v>
      </c>
      <c r="AM35" s="94">
        <f t="shared" si="7"/>
        <v>35446.886609832378</v>
      </c>
      <c r="AN35" s="94">
        <f t="shared" si="8"/>
        <v>-150000</v>
      </c>
      <c r="AO35" s="94">
        <f t="shared" si="9"/>
        <v>0</v>
      </c>
      <c r="AP35" s="94">
        <f t="shared" si="10"/>
        <v>3943664.9704609201</v>
      </c>
      <c r="AQ35" s="94">
        <v>0</v>
      </c>
      <c r="AR35" s="94">
        <v>0</v>
      </c>
      <c r="AS35" s="94">
        <v>0</v>
      </c>
      <c r="AT35" s="94">
        <f t="shared" si="16"/>
        <v>3769725.9529341599</v>
      </c>
      <c r="AU35" s="94">
        <v>0</v>
      </c>
      <c r="AV35" s="94"/>
      <c r="AW35" s="94">
        <f t="shared" si="11"/>
        <v>0</v>
      </c>
      <c r="AX35" s="94">
        <f t="shared" si="17"/>
        <v>0</v>
      </c>
      <c r="AY35">
        <f t="shared" si="12"/>
        <v>30</v>
      </c>
      <c r="AZ35" s="94">
        <f t="shared" si="13"/>
        <v>121604.06299787613</v>
      </c>
      <c r="BA35" s="94">
        <f t="shared" si="14"/>
        <v>3648121.8899362837</v>
      </c>
      <c r="BB35" t="s">
        <v>9</v>
      </c>
      <c r="BC35" t="s">
        <v>56</v>
      </c>
      <c r="BD35" s="9">
        <v>45810.626458333332</v>
      </c>
    </row>
    <row r="36" spans="1:56" x14ac:dyDescent="0.25">
      <c r="A36" s="11"/>
      <c r="B36" s="27" t="s">
        <v>60</v>
      </c>
      <c r="C36" s="28"/>
      <c r="D36" s="8"/>
      <c r="E36" s="122">
        <v>19</v>
      </c>
      <c r="F36" s="3">
        <v>46599</v>
      </c>
      <c r="G36" s="3">
        <v>45992</v>
      </c>
      <c r="H36" s="3">
        <v>47483</v>
      </c>
      <c r="I36" s="3" t="s">
        <v>61</v>
      </c>
      <c r="J36" s="3">
        <v>47483</v>
      </c>
      <c r="K36" s="3" t="s">
        <v>61</v>
      </c>
      <c r="L36" s="3">
        <v>47483</v>
      </c>
      <c r="M36" s="3">
        <v>47483</v>
      </c>
      <c r="N36" s="122">
        <v>48</v>
      </c>
      <c r="O36" s="3" t="s">
        <v>61</v>
      </c>
      <c r="P36" s="122">
        <v>5</v>
      </c>
      <c r="Q36" s="3">
        <v>47818</v>
      </c>
      <c r="R36" s="3">
        <v>47483</v>
      </c>
      <c r="S36" s="122">
        <v>48</v>
      </c>
      <c r="T36" s="5">
        <v>0.08</v>
      </c>
      <c r="U36" s="5">
        <v>0.11</v>
      </c>
      <c r="V36" t="s">
        <v>134</v>
      </c>
      <c r="W36" s="5">
        <v>8.7345938235519061E-3</v>
      </c>
      <c r="Y36" s="94">
        <v>150000</v>
      </c>
      <c r="Z36" s="94">
        <v>0</v>
      </c>
      <c r="AA36" s="94">
        <f t="shared" si="1"/>
        <v>150000</v>
      </c>
      <c r="AB36" s="94"/>
      <c r="AC36" s="94">
        <f t="shared" si="2"/>
        <v>150000</v>
      </c>
      <c r="AD36" s="94">
        <v>0</v>
      </c>
      <c r="AE36" s="94">
        <v>0</v>
      </c>
      <c r="AF36" s="94">
        <v>0</v>
      </c>
      <c r="AG36" s="94">
        <f>NPV(W36,AC36:AC65)</f>
        <v>3943664.9704609215</v>
      </c>
      <c r="AH36">
        <f t="shared" si="3"/>
        <v>29</v>
      </c>
      <c r="AI36" s="94">
        <f t="shared" si="4"/>
        <v>0</v>
      </c>
      <c r="AJ36" s="94">
        <f t="shared" si="5"/>
        <v>0</v>
      </c>
      <c r="AK36" s="94">
        <f t="shared" si="6"/>
        <v>0</v>
      </c>
      <c r="AL36" s="94">
        <f t="shared" si="15"/>
        <v>3943664.9704609201</v>
      </c>
      <c r="AM36" s="94">
        <f t="shared" si="7"/>
        <v>34446.311693145974</v>
      </c>
      <c r="AN36" s="94">
        <f t="shared" si="8"/>
        <v>-150000</v>
      </c>
      <c r="AO36" s="94">
        <f t="shared" si="9"/>
        <v>0</v>
      </c>
      <c r="AP36" s="94">
        <f t="shared" si="10"/>
        <v>3828111.282154066</v>
      </c>
      <c r="AQ36" s="94">
        <v>0</v>
      </c>
      <c r="AR36" s="94">
        <v>0</v>
      </c>
      <c r="AS36" s="94">
        <v>0</v>
      </c>
      <c r="AT36" s="94">
        <f t="shared" si="16"/>
        <v>3648121.8899362837</v>
      </c>
      <c r="AU36" s="94">
        <v>0</v>
      </c>
      <c r="AV36" s="94"/>
      <c r="AW36" s="94">
        <f t="shared" si="11"/>
        <v>0</v>
      </c>
      <c r="AX36" s="94">
        <f t="shared" si="17"/>
        <v>0</v>
      </c>
      <c r="AY36">
        <f t="shared" si="12"/>
        <v>29</v>
      </c>
      <c r="AZ36" s="94">
        <f t="shared" si="13"/>
        <v>121604.06299787613</v>
      </c>
      <c r="BA36" s="94">
        <f t="shared" si="14"/>
        <v>3526517.8269384075</v>
      </c>
      <c r="BB36" t="s">
        <v>9</v>
      </c>
      <c r="BC36" t="s">
        <v>56</v>
      </c>
      <c r="BD36" s="9">
        <v>45810.626458333332</v>
      </c>
    </row>
    <row r="37" spans="1:56" x14ac:dyDescent="0.25">
      <c r="A37" s="11"/>
      <c r="B37" s="22"/>
      <c r="C37" s="23"/>
      <c r="D37" s="8"/>
      <c r="E37" s="122">
        <v>20</v>
      </c>
      <c r="F37" s="3">
        <v>46630</v>
      </c>
      <c r="G37" s="3">
        <v>45992</v>
      </c>
      <c r="H37" s="3">
        <v>47483</v>
      </c>
      <c r="I37" s="3" t="s">
        <v>61</v>
      </c>
      <c r="J37" s="3">
        <v>47483</v>
      </c>
      <c r="K37" s="3" t="s">
        <v>61</v>
      </c>
      <c r="L37" s="3">
        <v>47483</v>
      </c>
      <c r="M37" s="3">
        <v>47483</v>
      </c>
      <c r="N37" s="122">
        <v>48</v>
      </c>
      <c r="O37" s="3" t="s">
        <v>61</v>
      </c>
      <c r="P37" s="122">
        <v>5</v>
      </c>
      <c r="Q37" s="3">
        <v>47818</v>
      </c>
      <c r="R37" s="3">
        <v>47483</v>
      </c>
      <c r="S37" s="122">
        <v>48</v>
      </c>
      <c r="T37" s="5">
        <v>0.08</v>
      </c>
      <c r="U37" s="5">
        <v>0.11</v>
      </c>
      <c r="V37" t="s">
        <v>134</v>
      </c>
      <c r="W37" s="5">
        <v>8.7345938235519061E-3</v>
      </c>
      <c r="Y37" s="94">
        <v>150000</v>
      </c>
      <c r="Z37" s="94">
        <v>0</v>
      </c>
      <c r="AA37" s="94">
        <f t="shared" si="1"/>
        <v>150000</v>
      </c>
      <c r="AB37" s="94"/>
      <c r="AC37" s="94">
        <f t="shared" si="2"/>
        <v>150000</v>
      </c>
      <c r="AD37" s="94">
        <v>0</v>
      </c>
      <c r="AE37" s="94">
        <v>0</v>
      </c>
      <c r="AF37" s="94">
        <v>0</v>
      </c>
      <c r="AG37" s="94">
        <f>NPV(W37,AC37:AC65)</f>
        <v>3828111.2821540679</v>
      </c>
      <c r="AH37">
        <f t="shared" si="3"/>
        <v>28</v>
      </c>
      <c r="AI37" s="94">
        <f t="shared" si="4"/>
        <v>0</v>
      </c>
      <c r="AJ37" s="94">
        <f t="shared" si="5"/>
        <v>0</v>
      </c>
      <c r="AK37" s="94">
        <f t="shared" si="6"/>
        <v>0</v>
      </c>
      <c r="AL37" s="94">
        <f t="shared" si="15"/>
        <v>3828111.282154066</v>
      </c>
      <c r="AM37" s="94">
        <f t="shared" si="7"/>
        <v>33436.997160972292</v>
      </c>
      <c r="AN37" s="94">
        <f t="shared" si="8"/>
        <v>-150000</v>
      </c>
      <c r="AO37" s="94">
        <f t="shared" si="9"/>
        <v>0</v>
      </c>
      <c r="AP37" s="94">
        <f t="shared" si="10"/>
        <v>3711548.2793150381</v>
      </c>
      <c r="AQ37" s="94">
        <v>0</v>
      </c>
      <c r="AR37" s="94">
        <v>0</v>
      </c>
      <c r="AS37" s="94">
        <v>0</v>
      </c>
      <c r="AT37" s="94">
        <f t="shared" si="16"/>
        <v>3526517.8269384075</v>
      </c>
      <c r="AU37" s="94">
        <v>0</v>
      </c>
      <c r="AV37" s="94"/>
      <c r="AW37" s="94">
        <f t="shared" si="11"/>
        <v>0</v>
      </c>
      <c r="AX37" s="94">
        <f t="shared" si="17"/>
        <v>0</v>
      </c>
      <c r="AY37">
        <f t="shared" si="12"/>
        <v>28</v>
      </c>
      <c r="AZ37" s="94">
        <f t="shared" si="13"/>
        <v>121604.06299787611</v>
      </c>
      <c r="BA37" s="94">
        <f t="shared" si="14"/>
        <v>3404913.7639405313</v>
      </c>
      <c r="BB37" t="s">
        <v>9</v>
      </c>
      <c r="BC37" t="s">
        <v>56</v>
      </c>
      <c r="BD37" s="9">
        <v>45810.626458333332</v>
      </c>
    </row>
    <row r="38" spans="1:56" x14ac:dyDescent="0.25">
      <c r="A38" s="11"/>
      <c r="B38" s="22" t="s">
        <v>4</v>
      </c>
      <c r="C38" s="25" t="s">
        <v>61</v>
      </c>
      <c r="D38" s="8"/>
      <c r="E38" s="122">
        <v>21</v>
      </c>
      <c r="F38" s="3">
        <v>46660</v>
      </c>
      <c r="G38" s="3">
        <v>45992</v>
      </c>
      <c r="H38" s="3">
        <v>47483</v>
      </c>
      <c r="I38" s="3" t="s">
        <v>61</v>
      </c>
      <c r="J38" s="3">
        <v>47483</v>
      </c>
      <c r="K38" s="3" t="s">
        <v>61</v>
      </c>
      <c r="L38" s="3">
        <v>47483</v>
      </c>
      <c r="M38" s="3">
        <v>47483</v>
      </c>
      <c r="N38" s="122">
        <v>48</v>
      </c>
      <c r="O38" s="3" t="s">
        <v>61</v>
      </c>
      <c r="P38" s="122">
        <v>5</v>
      </c>
      <c r="Q38" s="3">
        <v>47818</v>
      </c>
      <c r="R38" s="3">
        <v>47483</v>
      </c>
      <c r="S38" s="122">
        <v>48</v>
      </c>
      <c r="T38" s="5">
        <v>0.08</v>
      </c>
      <c r="U38" s="5">
        <v>0.11</v>
      </c>
      <c r="V38" t="s">
        <v>134</v>
      </c>
      <c r="W38" s="5">
        <v>8.7345938235519061E-3</v>
      </c>
      <c r="Y38" s="94">
        <v>150000</v>
      </c>
      <c r="Z38" s="94">
        <v>0</v>
      </c>
      <c r="AA38" s="94">
        <f t="shared" si="1"/>
        <v>150000</v>
      </c>
      <c r="AB38" s="94"/>
      <c r="AC38" s="94">
        <f t="shared" si="2"/>
        <v>150000</v>
      </c>
      <c r="AD38" s="94">
        <v>0</v>
      </c>
      <c r="AE38" s="94">
        <v>0</v>
      </c>
      <c r="AF38" s="94">
        <v>0</v>
      </c>
      <c r="AG38" s="94">
        <f>NPV(W38,AC38:AC65)</f>
        <v>3711548.27931504</v>
      </c>
      <c r="AH38">
        <f t="shared" si="3"/>
        <v>27</v>
      </c>
      <c r="AI38" s="94">
        <f t="shared" si="4"/>
        <v>0</v>
      </c>
      <c r="AJ38" s="94">
        <f t="shared" si="5"/>
        <v>0</v>
      </c>
      <c r="AK38" s="94">
        <f t="shared" si="6"/>
        <v>0</v>
      </c>
      <c r="AL38" s="94">
        <f t="shared" si="15"/>
        <v>3711548.2793150381</v>
      </c>
      <c r="AM38" s="94">
        <f t="shared" si="7"/>
        <v>32418.866676319853</v>
      </c>
      <c r="AN38" s="94">
        <f t="shared" si="8"/>
        <v>-150000</v>
      </c>
      <c r="AO38" s="94">
        <f t="shared" si="9"/>
        <v>0</v>
      </c>
      <c r="AP38" s="94">
        <f t="shared" si="10"/>
        <v>3593967.145991358</v>
      </c>
      <c r="AQ38" s="94">
        <v>0</v>
      </c>
      <c r="AR38" s="94">
        <v>0</v>
      </c>
      <c r="AS38" s="94">
        <v>0</v>
      </c>
      <c r="AT38" s="94">
        <f t="shared" si="16"/>
        <v>3404913.7639405313</v>
      </c>
      <c r="AU38" s="94">
        <v>0</v>
      </c>
      <c r="AV38" s="94"/>
      <c r="AW38" s="94">
        <f t="shared" si="11"/>
        <v>0</v>
      </c>
      <c r="AX38" s="94">
        <f t="shared" si="17"/>
        <v>0</v>
      </c>
      <c r="AY38">
        <f t="shared" si="12"/>
        <v>27</v>
      </c>
      <c r="AZ38" s="94">
        <f t="shared" si="13"/>
        <v>121604.06299787611</v>
      </c>
      <c r="BA38" s="94">
        <f t="shared" si="14"/>
        <v>3283309.7009426551</v>
      </c>
      <c r="BB38" t="s">
        <v>9</v>
      </c>
      <c r="BC38" t="s">
        <v>56</v>
      </c>
      <c r="BD38" s="9">
        <v>45810.626458333332</v>
      </c>
    </row>
    <row r="39" spans="1:56" x14ac:dyDescent="0.25">
      <c r="A39" s="11"/>
      <c r="B39" s="22" t="s">
        <v>8</v>
      </c>
      <c r="C39" s="24">
        <v>5</v>
      </c>
      <c r="D39" s="8"/>
      <c r="E39" s="122">
        <v>22</v>
      </c>
      <c r="F39" s="3">
        <v>46691</v>
      </c>
      <c r="G39" s="3">
        <v>45992</v>
      </c>
      <c r="H39" s="3">
        <v>47483</v>
      </c>
      <c r="I39" s="3" t="s">
        <v>61</v>
      </c>
      <c r="J39" s="3">
        <v>47483</v>
      </c>
      <c r="K39" s="3" t="s">
        <v>61</v>
      </c>
      <c r="L39" s="3">
        <v>47483</v>
      </c>
      <c r="M39" s="3">
        <v>47483</v>
      </c>
      <c r="N39" s="122">
        <v>48</v>
      </c>
      <c r="O39" s="3" t="s">
        <v>61</v>
      </c>
      <c r="P39" s="122">
        <v>5</v>
      </c>
      <c r="Q39" s="3">
        <v>47818</v>
      </c>
      <c r="R39" s="3">
        <v>47483</v>
      </c>
      <c r="S39" s="122">
        <v>48</v>
      </c>
      <c r="T39" s="5">
        <v>0.08</v>
      </c>
      <c r="U39" s="5">
        <v>0.11</v>
      </c>
      <c r="V39" t="s">
        <v>134</v>
      </c>
      <c r="W39" s="5">
        <v>8.7345938235519061E-3</v>
      </c>
      <c r="Y39" s="94">
        <v>150000</v>
      </c>
      <c r="Z39" s="94">
        <v>0</v>
      </c>
      <c r="AA39" s="94">
        <f t="shared" si="1"/>
        <v>150000</v>
      </c>
      <c r="AB39" s="94"/>
      <c r="AC39" s="94">
        <f t="shared" si="2"/>
        <v>150000</v>
      </c>
      <c r="AD39" s="94">
        <v>0</v>
      </c>
      <c r="AE39" s="94">
        <v>0</v>
      </c>
      <c r="AF39" s="94">
        <v>0</v>
      </c>
      <c r="AG39" s="94">
        <f>NPV(W39,AC39:AC65)</f>
        <v>3593967.1459913598</v>
      </c>
      <c r="AH39">
        <f t="shared" si="3"/>
        <v>26</v>
      </c>
      <c r="AI39" s="94">
        <f t="shared" si="4"/>
        <v>0</v>
      </c>
      <c r="AJ39" s="94">
        <f t="shared" si="5"/>
        <v>0</v>
      </c>
      <c r="AK39" s="94">
        <f t="shared" si="6"/>
        <v>0</v>
      </c>
      <c r="AL39" s="94">
        <f t="shared" si="15"/>
        <v>3593967.145991358</v>
      </c>
      <c r="AM39" s="94">
        <f t="shared" si="7"/>
        <v>31391.843235424603</v>
      </c>
      <c r="AN39" s="94">
        <f t="shared" si="8"/>
        <v>-150000</v>
      </c>
      <c r="AO39" s="94">
        <f t="shared" si="9"/>
        <v>0</v>
      </c>
      <c r="AP39" s="94">
        <f t="shared" si="10"/>
        <v>3475358.9892267827</v>
      </c>
      <c r="AQ39" s="94">
        <v>0</v>
      </c>
      <c r="AR39" s="94">
        <v>0</v>
      </c>
      <c r="AS39" s="94">
        <v>0</v>
      </c>
      <c r="AT39" s="94">
        <f t="shared" si="16"/>
        <v>3283309.7009426551</v>
      </c>
      <c r="AU39" s="94">
        <v>0</v>
      </c>
      <c r="AV39" s="94"/>
      <c r="AW39" s="94">
        <f t="shared" si="11"/>
        <v>0</v>
      </c>
      <c r="AX39" s="94">
        <f t="shared" si="17"/>
        <v>0</v>
      </c>
      <c r="AY39">
        <f t="shared" si="12"/>
        <v>26</v>
      </c>
      <c r="AZ39" s="94">
        <f t="shared" si="13"/>
        <v>121604.06299787611</v>
      </c>
      <c r="BA39" s="94">
        <f t="shared" si="14"/>
        <v>3161705.6379447789</v>
      </c>
      <c r="BB39" t="s">
        <v>9</v>
      </c>
      <c r="BC39" t="s">
        <v>56</v>
      </c>
      <c r="BD39" s="9">
        <v>45810.626458333332</v>
      </c>
    </row>
    <row r="40" spans="1:56" x14ac:dyDescent="0.25">
      <c r="A40" s="11"/>
      <c r="B40" s="22" t="s">
        <v>10</v>
      </c>
      <c r="C40" s="85">
        <f>+EDATE(C24,C39*12)</f>
        <v>47818</v>
      </c>
      <c r="D40" s="8"/>
      <c r="E40" s="122">
        <v>23</v>
      </c>
      <c r="F40" s="3">
        <v>46721</v>
      </c>
      <c r="G40" s="3">
        <v>45992</v>
      </c>
      <c r="H40" s="3">
        <v>47483</v>
      </c>
      <c r="I40" s="3" t="s">
        <v>61</v>
      </c>
      <c r="J40" s="3">
        <v>47483</v>
      </c>
      <c r="K40" s="3" t="s">
        <v>61</v>
      </c>
      <c r="L40" s="3">
        <v>47483</v>
      </c>
      <c r="M40" s="3">
        <v>47483</v>
      </c>
      <c r="N40" s="122">
        <v>48</v>
      </c>
      <c r="O40" s="3" t="s">
        <v>61</v>
      </c>
      <c r="P40" s="122">
        <v>5</v>
      </c>
      <c r="Q40" s="3">
        <v>47818</v>
      </c>
      <c r="R40" s="3">
        <v>47483</v>
      </c>
      <c r="S40" s="122">
        <v>48</v>
      </c>
      <c r="T40" s="5">
        <v>0.08</v>
      </c>
      <c r="U40" s="5">
        <v>0.11</v>
      </c>
      <c r="V40" t="s">
        <v>134</v>
      </c>
      <c r="W40" s="5">
        <v>8.7345938235519061E-3</v>
      </c>
      <c r="Y40" s="94">
        <v>150000</v>
      </c>
      <c r="Z40" s="94">
        <v>0</v>
      </c>
      <c r="AA40" s="94">
        <f t="shared" si="1"/>
        <v>150000</v>
      </c>
      <c r="AB40" s="94"/>
      <c r="AC40" s="94">
        <f t="shared" si="2"/>
        <v>150000</v>
      </c>
      <c r="AD40" s="94">
        <v>0</v>
      </c>
      <c r="AE40" s="94">
        <v>0</v>
      </c>
      <c r="AF40" s="94">
        <v>0</v>
      </c>
      <c r="AG40" s="94">
        <f>NPV(W40,AC40:AC65)</f>
        <v>3475358.9892267846</v>
      </c>
      <c r="AH40">
        <f t="shared" si="3"/>
        <v>25</v>
      </c>
      <c r="AI40" s="94">
        <f t="shared" si="4"/>
        <v>0</v>
      </c>
      <c r="AJ40" s="94">
        <f t="shared" si="5"/>
        <v>0</v>
      </c>
      <c r="AK40" s="94">
        <f t="shared" si="6"/>
        <v>0</v>
      </c>
      <c r="AL40" s="94">
        <f t="shared" si="15"/>
        <v>3475358.9892267827</v>
      </c>
      <c r="AM40" s="94">
        <f t="shared" si="7"/>
        <v>30355.849161925868</v>
      </c>
      <c r="AN40" s="94">
        <f t="shared" si="8"/>
        <v>-150000</v>
      </c>
      <c r="AO40" s="94">
        <f t="shared" si="9"/>
        <v>0</v>
      </c>
      <c r="AP40" s="94">
        <f t="shared" si="10"/>
        <v>3355714.8383887084</v>
      </c>
      <c r="AQ40" s="94">
        <v>0</v>
      </c>
      <c r="AR40" s="94">
        <v>0</v>
      </c>
      <c r="AS40" s="94">
        <v>0</v>
      </c>
      <c r="AT40" s="94">
        <f t="shared" si="16"/>
        <v>3161705.6379447789</v>
      </c>
      <c r="AU40" s="94">
        <v>0</v>
      </c>
      <c r="AV40" s="94"/>
      <c r="AW40" s="94">
        <f t="shared" si="11"/>
        <v>0</v>
      </c>
      <c r="AX40" s="94">
        <f t="shared" si="17"/>
        <v>0</v>
      </c>
      <c r="AY40">
        <f t="shared" si="12"/>
        <v>25</v>
      </c>
      <c r="AZ40" s="94">
        <f t="shared" si="13"/>
        <v>121604.06299787611</v>
      </c>
      <c r="BA40" s="94">
        <f t="shared" si="14"/>
        <v>3040101.5749469027</v>
      </c>
      <c r="BB40" t="s">
        <v>9</v>
      </c>
      <c r="BC40" t="s">
        <v>56</v>
      </c>
      <c r="BD40" s="9">
        <v>45810.626458333332</v>
      </c>
    </row>
    <row r="41" spans="1:56" x14ac:dyDescent="0.25">
      <c r="A41" s="11"/>
      <c r="B41" s="22"/>
      <c r="C41" s="23"/>
      <c r="D41" s="8"/>
      <c r="E41" s="122">
        <v>24</v>
      </c>
      <c r="F41" s="3">
        <v>46752</v>
      </c>
      <c r="G41" s="3">
        <v>45992</v>
      </c>
      <c r="H41" s="3">
        <v>47483</v>
      </c>
      <c r="I41" s="3" t="s">
        <v>61</v>
      </c>
      <c r="J41" s="3">
        <v>47483</v>
      </c>
      <c r="K41" s="3" t="s">
        <v>61</v>
      </c>
      <c r="L41" s="3">
        <v>47483</v>
      </c>
      <c r="M41" s="3">
        <v>47483</v>
      </c>
      <c r="N41" s="122">
        <v>48</v>
      </c>
      <c r="O41" s="3" t="s">
        <v>61</v>
      </c>
      <c r="P41" s="122">
        <v>5</v>
      </c>
      <c r="Q41" s="3">
        <v>47818</v>
      </c>
      <c r="R41" s="3">
        <v>47483</v>
      </c>
      <c r="S41" s="122">
        <v>48</v>
      </c>
      <c r="T41" s="5">
        <v>0.08</v>
      </c>
      <c r="U41" s="5">
        <v>0.11</v>
      </c>
      <c r="V41" t="s">
        <v>134</v>
      </c>
      <c r="W41" s="5">
        <v>8.7345938235519061E-3</v>
      </c>
      <c r="Y41" s="94">
        <v>150000</v>
      </c>
      <c r="Z41" s="94">
        <v>0</v>
      </c>
      <c r="AA41" s="94">
        <f t="shared" si="1"/>
        <v>150000</v>
      </c>
      <c r="AB41" s="94"/>
      <c r="AC41" s="94">
        <f t="shared" si="2"/>
        <v>150000</v>
      </c>
      <c r="AD41" s="94">
        <v>0</v>
      </c>
      <c r="AE41" s="94">
        <v>0</v>
      </c>
      <c r="AF41" s="94">
        <v>0</v>
      </c>
      <c r="AG41" s="94">
        <f>NPV(W41,AC41:AC65)</f>
        <v>3355714.8383887103</v>
      </c>
      <c r="AH41">
        <f t="shared" si="3"/>
        <v>24</v>
      </c>
      <c r="AI41" s="94">
        <f t="shared" si="4"/>
        <v>0</v>
      </c>
      <c r="AJ41" s="94">
        <f t="shared" si="5"/>
        <v>0</v>
      </c>
      <c r="AK41" s="94">
        <f t="shared" si="6"/>
        <v>0</v>
      </c>
      <c r="AL41" s="94">
        <f t="shared" si="15"/>
        <v>3355714.8383887084</v>
      </c>
      <c r="AM41" s="94">
        <f t="shared" si="7"/>
        <v>29310.806100991511</v>
      </c>
      <c r="AN41" s="94">
        <f t="shared" si="8"/>
        <v>-150000</v>
      </c>
      <c r="AO41" s="94">
        <f t="shared" si="9"/>
        <v>0</v>
      </c>
      <c r="AP41" s="94">
        <f t="shared" si="10"/>
        <v>3235025.6444897</v>
      </c>
      <c r="AQ41" s="94">
        <v>0</v>
      </c>
      <c r="AR41" s="94">
        <v>0</v>
      </c>
      <c r="AS41" s="94">
        <v>0</v>
      </c>
      <c r="AT41" s="94">
        <f t="shared" si="16"/>
        <v>3040101.5749469027</v>
      </c>
      <c r="AU41" s="94">
        <v>0</v>
      </c>
      <c r="AV41" s="94"/>
      <c r="AW41" s="94">
        <f t="shared" si="11"/>
        <v>0</v>
      </c>
      <c r="AX41" s="94">
        <f t="shared" si="17"/>
        <v>0</v>
      </c>
      <c r="AY41">
        <f t="shared" si="12"/>
        <v>24</v>
      </c>
      <c r="AZ41" s="94">
        <f t="shared" si="13"/>
        <v>121604.06299787611</v>
      </c>
      <c r="BA41" s="94">
        <f t="shared" si="14"/>
        <v>2918497.5119490265</v>
      </c>
      <c r="BB41" t="s">
        <v>9</v>
      </c>
      <c r="BC41" t="s">
        <v>56</v>
      </c>
      <c r="BD41" s="9">
        <v>45810.626458333332</v>
      </c>
    </row>
    <row r="42" spans="1:56" x14ac:dyDescent="0.25">
      <c r="A42" s="11"/>
      <c r="B42" s="22" t="s">
        <v>21</v>
      </c>
      <c r="C42" s="29" cm="1">
        <f t="array" ref="C42">IF(C38="Yes",EOMONTH(C40,0),IF(IDATE(C40),MIN(EOMONTH(C33,0),EOMONTH(C40,0)),EOMONTH(C33,0)))</f>
        <v>47483</v>
      </c>
      <c r="D42" s="8"/>
      <c r="E42" s="122">
        <v>25</v>
      </c>
      <c r="F42" s="3">
        <v>46783</v>
      </c>
      <c r="G42" s="3">
        <v>45992</v>
      </c>
      <c r="H42" s="3">
        <v>47483</v>
      </c>
      <c r="I42" s="3" t="s">
        <v>61</v>
      </c>
      <c r="J42" s="3">
        <v>47483</v>
      </c>
      <c r="K42" s="3" t="s">
        <v>61</v>
      </c>
      <c r="L42" s="3">
        <v>47483</v>
      </c>
      <c r="M42" s="3">
        <v>47483</v>
      </c>
      <c r="N42" s="122">
        <v>48</v>
      </c>
      <c r="O42" s="3" t="s">
        <v>61</v>
      </c>
      <c r="P42" s="122">
        <v>5</v>
      </c>
      <c r="Q42" s="3">
        <v>47818</v>
      </c>
      <c r="R42" s="3">
        <v>47483</v>
      </c>
      <c r="S42" s="122">
        <v>48</v>
      </c>
      <c r="T42" s="5">
        <v>0.08</v>
      </c>
      <c r="U42" s="5">
        <v>0.11</v>
      </c>
      <c r="V42" t="s">
        <v>134</v>
      </c>
      <c r="W42" s="5">
        <v>8.7345938235519061E-3</v>
      </c>
      <c r="Y42" s="94">
        <v>150000</v>
      </c>
      <c r="Z42" s="94">
        <v>0</v>
      </c>
      <c r="AA42" s="94">
        <f t="shared" si="1"/>
        <v>150000</v>
      </c>
      <c r="AB42" s="94"/>
      <c r="AC42" s="94">
        <f t="shared" si="2"/>
        <v>150000</v>
      </c>
      <c r="AD42" s="94">
        <v>0</v>
      </c>
      <c r="AE42" s="94">
        <v>0</v>
      </c>
      <c r="AF42" s="94">
        <v>0</v>
      </c>
      <c r="AG42" s="94">
        <f>NPV(W42,AC42:AC65)</f>
        <v>3235025.6444897018</v>
      </c>
      <c r="AH42">
        <f t="shared" si="3"/>
        <v>23</v>
      </c>
      <c r="AI42" s="94">
        <f t="shared" si="4"/>
        <v>0</v>
      </c>
      <c r="AJ42" s="94">
        <f t="shared" si="5"/>
        <v>0</v>
      </c>
      <c r="AK42" s="94">
        <f t="shared" si="6"/>
        <v>0</v>
      </c>
      <c r="AL42" s="94">
        <f t="shared" si="15"/>
        <v>3235025.6444897</v>
      </c>
      <c r="AM42" s="94">
        <f t="shared" si="7"/>
        <v>28256.635013391773</v>
      </c>
      <c r="AN42" s="94">
        <f t="shared" si="8"/>
        <v>-150000</v>
      </c>
      <c r="AO42" s="94">
        <f t="shared" si="9"/>
        <v>0</v>
      </c>
      <c r="AP42" s="94">
        <f t="shared" si="10"/>
        <v>3113282.2795030917</v>
      </c>
      <c r="AQ42" s="94">
        <v>0</v>
      </c>
      <c r="AR42" s="94">
        <v>0</v>
      </c>
      <c r="AS42" s="94">
        <v>0</v>
      </c>
      <c r="AT42" s="94">
        <f t="shared" si="16"/>
        <v>2918497.5119490265</v>
      </c>
      <c r="AU42" s="94">
        <v>0</v>
      </c>
      <c r="AV42" s="94"/>
      <c r="AW42" s="94">
        <f t="shared" si="11"/>
        <v>0</v>
      </c>
      <c r="AX42" s="94">
        <f t="shared" si="17"/>
        <v>0</v>
      </c>
      <c r="AY42">
        <f t="shared" si="12"/>
        <v>23</v>
      </c>
      <c r="AZ42" s="94">
        <f t="shared" si="13"/>
        <v>121604.0629978761</v>
      </c>
      <c r="BA42" s="94">
        <f t="shared" si="14"/>
        <v>2796893.4489511503</v>
      </c>
      <c r="BB42" t="s">
        <v>9</v>
      </c>
      <c r="BC42" t="s">
        <v>56</v>
      </c>
      <c r="BD42" s="9">
        <v>45810.626458333332</v>
      </c>
    </row>
    <row r="43" spans="1:56" x14ac:dyDescent="0.25">
      <c r="A43" s="11"/>
      <c r="B43" s="30" t="s">
        <v>15</v>
      </c>
      <c r="C43" s="31">
        <f>(YEAR(C42)-YEAR(C24))*12+MONTH(C42)-MONTH(C24)</f>
        <v>48</v>
      </c>
      <c r="D43" s="8"/>
      <c r="E43" s="122">
        <v>26</v>
      </c>
      <c r="F43" s="3">
        <v>46812</v>
      </c>
      <c r="G43" s="3">
        <v>45992</v>
      </c>
      <c r="H43" s="3">
        <v>47483</v>
      </c>
      <c r="I43" s="3" t="s">
        <v>61</v>
      </c>
      <c r="J43" s="3">
        <v>47483</v>
      </c>
      <c r="K43" s="3" t="s">
        <v>61</v>
      </c>
      <c r="L43" s="3">
        <v>47483</v>
      </c>
      <c r="M43" s="3">
        <v>47483</v>
      </c>
      <c r="N43" s="122">
        <v>48</v>
      </c>
      <c r="O43" s="3" t="s">
        <v>61</v>
      </c>
      <c r="P43" s="122">
        <v>5</v>
      </c>
      <c r="Q43" s="3">
        <v>47818</v>
      </c>
      <c r="R43" s="3">
        <v>47483</v>
      </c>
      <c r="S43" s="122">
        <v>48</v>
      </c>
      <c r="T43" s="5">
        <v>0.08</v>
      </c>
      <c r="U43" s="5">
        <v>0.11</v>
      </c>
      <c r="V43" t="s">
        <v>134</v>
      </c>
      <c r="W43" s="5">
        <v>8.7345938235519061E-3</v>
      </c>
      <c r="Y43" s="94">
        <v>150000</v>
      </c>
      <c r="Z43" s="94">
        <v>0</v>
      </c>
      <c r="AA43" s="94">
        <f t="shared" si="1"/>
        <v>150000</v>
      </c>
      <c r="AB43" s="94"/>
      <c r="AC43" s="94">
        <f t="shared" si="2"/>
        <v>150000</v>
      </c>
      <c r="AD43" s="94">
        <v>0</v>
      </c>
      <c r="AE43" s="94">
        <v>0</v>
      </c>
      <c r="AF43" s="94">
        <v>0</v>
      </c>
      <c r="AG43" s="94">
        <f>NPV(W43,AC43:AC65)</f>
        <v>3113282.2795030936</v>
      </c>
      <c r="AH43">
        <f t="shared" si="3"/>
        <v>22</v>
      </c>
      <c r="AI43" s="94">
        <f t="shared" si="4"/>
        <v>0</v>
      </c>
      <c r="AJ43" s="94">
        <f t="shared" si="5"/>
        <v>0</v>
      </c>
      <c r="AK43" s="94">
        <f t="shared" si="6"/>
        <v>0</v>
      </c>
      <c r="AL43" s="94">
        <f t="shared" si="15"/>
        <v>3113282.2795030917</v>
      </c>
      <c r="AM43" s="94">
        <f t="shared" si="7"/>
        <v>27193.256169521319</v>
      </c>
      <c r="AN43" s="94">
        <f t="shared" si="8"/>
        <v>-150000</v>
      </c>
      <c r="AO43" s="94">
        <f t="shared" si="9"/>
        <v>0</v>
      </c>
      <c r="AP43" s="94">
        <f t="shared" si="10"/>
        <v>2990475.535672613</v>
      </c>
      <c r="AQ43" s="94">
        <v>0</v>
      </c>
      <c r="AR43" s="94">
        <v>0</v>
      </c>
      <c r="AS43" s="94">
        <v>0</v>
      </c>
      <c r="AT43" s="94">
        <f t="shared" si="16"/>
        <v>2796893.4489511503</v>
      </c>
      <c r="AU43" s="94">
        <v>0</v>
      </c>
      <c r="AV43" s="94"/>
      <c r="AW43" s="94">
        <f t="shared" si="11"/>
        <v>0</v>
      </c>
      <c r="AX43" s="94">
        <f t="shared" si="17"/>
        <v>0</v>
      </c>
      <c r="AY43">
        <f t="shared" si="12"/>
        <v>22</v>
      </c>
      <c r="AZ43" s="94">
        <f t="shared" si="13"/>
        <v>121604.0629978761</v>
      </c>
      <c r="BA43" s="94">
        <f t="shared" si="14"/>
        <v>2675289.3859532741</v>
      </c>
      <c r="BB43" t="s">
        <v>9</v>
      </c>
      <c r="BC43" t="s">
        <v>56</v>
      </c>
      <c r="BD43" s="9">
        <v>45810.626458333332</v>
      </c>
    </row>
    <row r="44" spans="1:56" x14ac:dyDescent="0.25">
      <c r="A44" s="11"/>
      <c r="B44" s="22"/>
      <c r="C44" s="23"/>
      <c r="D44" s="8"/>
      <c r="E44" s="122">
        <v>27</v>
      </c>
      <c r="F44" s="3">
        <v>46843</v>
      </c>
      <c r="G44" s="3">
        <v>45992</v>
      </c>
      <c r="H44" s="3">
        <v>47483</v>
      </c>
      <c r="I44" s="3" t="s">
        <v>61</v>
      </c>
      <c r="J44" s="3">
        <v>47483</v>
      </c>
      <c r="K44" s="3" t="s">
        <v>61</v>
      </c>
      <c r="L44" s="3">
        <v>47483</v>
      </c>
      <c r="M44" s="3">
        <v>47483</v>
      </c>
      <c r="N44" s="122">
        <v>48</v>
      </c>
      <c r="O44" s="3" t="s">
        <v>61</v>
      </c>
      <c r="P44" s="122">
        <v>5</v>
      </c>
      <c r="Q44" s="3">
        <v>47818</v>
      </c>
      <c r="R44" s="3">
        <v>47483</v>
      </c>
      <c r="S44" s="122">
        <v>48</v>
      </c>
      <c r="T44" s="5">
        <v>0.08</v>
      </c>
      <c r="U44" s="5">
        <v>0.11</v>
      </c>
      <c r="V44" t="s">
        <v>134</v>
      </c>
      <c r="W44" s="5">
        <v>8.7345938235519061E-3</v>
      </c>
      <c r="Y44" s="94">
        <v>150000</v>
      </c>
      <c r="Z44" s="94">
        <v>0</v>
      </c>
      <c r="AA44" s="94">
        <f t="shared" si="1"/>
        <v>150000</v>
      </c>
      <c r="AB44" s="94"/>
      <c r="AC44" s="94">
        <f t="shared" si="2"/>
        <v>150000</v>
      </c>
      <c r="AD44" s="94">
        <v>0</v>
      </c>
      <c r="AE44" s="94">
        <v>0</v>
      </c>
      <c r="AF44" s="94">
        <v>0</v>
      </c>
      <c r="AG44" s="94">
        <f>NPV(W44,AC44:AC65)</f>
        <v>2990475.5356726153</v>
      </c>
      <c r="AH44">
        <f t="shared" si="3"/>
        <v>21</v>
      </c>
      <c r="AI44" s="94">
        <f t="shared" si="4"/>
        <v>0</v>
      </c>
      <c r="AJ44" s="94">
        <f t="shared" si="5"/>
        <v>0</v>
      </c>
      <c r="AK44" s="94">
        <f t="shared" si="6"/>
        <v>0</v>
      </c>
      <c r="AL44" s="94">
        <f t="shared" si="15"/>
        <v>2990475.535672613</v>
      </c>
      <c r="AM44" s="94">
        <f t="shared" si="7"/>
        <v>26120.589143369103</v>
      </c>
      <c r="AN44" s="94">
        <f t="shared" si="8"/>
        <v>-150000</v>
      </c>
      <c r="AO44" s="94">
        <f t="shared" si="9"/>
        <v>0</v>
      </c>
      <c r="AP44" s="94">
        <f t="shared" si="10"/>
        <v>2866596.1248159818</v>
      </c>
      <c r="AQ44" s="94">
        <v>0</v>
      </c>
      <c r="AR44" s="94">
        <v>0</v>
      </c>
      <c r="AS44" s="94">
        <v>0</v>
      </c>
      <c r="AT44" s="94">
        <f t="shared" si="16"/>
        <v>2675289.3859532741</v>
      </c>
      <c r="AU44" s="94">
        <v>0</v>
      </c>
      <c r="AV44" s="94"/>
      <c r="AW44" s="94">
        <f t="shared" si="11"/>
        <v>0</v>
      </c>
      <c r="AX44" s="94">
        <f t="shared" si="17"/>
        <v>0</v>
      </c>
      <c r="AY44">
        <f t="shared" si="12"/>
        <v>21</v>
      </c>
      <c r="AZ44" s="94">
        <f t="shared" si="13"/>
        <v>121604.0629978761</v>
      </c>
      <c r="BA44" s="94">
        <f t="shared" si="14"/>
        <v>2553685.3229553979</v>
      </c>
      <c r="BB44" t="s">
        <v>9</v>
      </c>
      <c r="BC44" t="s">
        <v>56</v>
      </c>
      <c r="BD44" s="9">
        <v>45810.626458333332</v>
      </c>
    </row>
    <row r="45" spans="1:56" x14ac:dyDescent="0.25">
      <c r="A45" s="11"/>
      <c r="B45" s="27" t="s">
        <v>16</v>
      </c>
      <c r="C45" s="28"/>
      <c r="D45" s="8"/>
      <c r="E45" s="122">
        <v>28</v>
      </c>
      <c r="F45" s="3">
        <v>46873</v>
      </c>
      <c r="G45" s="3">
        <v>45992</v>
      </c>
      <c r="H45" s="3">
        <v>47483</v>
      </c>
      <c r="I45" s="3" t="s">
        <v>61</v>
      </c>
      <c r="J45" s="3">
        <v>47483</v>
      </c>
      <c r="K45" s="3" t="s">
        <v>61</v>
      </c>
      <c r="L45" s="3">
        <v>47483</v>
      </c>
      <c r="M45" s="3">
        <v>47483</v>
      </c>
      <c r="N45" s="122">
        <v>48</v>
      </c>
      <c r="O45" s="3" t="s">
        <v>61</v>
      </c>
      <c r="P45" s="122">
        <v>5</v>
      </c>
      <c r="Q45" s="3">
        <v>47818</v>
      </c>
      <c r="R45" s="3">
        <v>47483</v>
      </c>
      <c r="S45" s="122">
        <v>48</v>
      </c>
      <c r="T45" s="5">
        <v>0.08</v>
      </c>
      <c r="U45" s="5">
        <v>0.11</v>
      </c>
      <c r="V45" t="s">
        <v>134</v>
      </c>
      <c r="W45" s="5">
        <v>8.7345938235519061E-3</v>
      </c>
      <c r="Y45" s="94">
        <v>150000</v>
      </c>
      <c r="Z45" s="94">
        <v>0</v>
      </c>
      <c r="AA45" s="94">
        <f t="shared" si="1"/>
        <v>150000</v>
      </c>
      <c r="AB45" s="94"/>
      <c r="AC45" s="94">
        <f t="shared" si="2"/>
        <v>150000</v>
      </c>
      <c r="AD45" s="94">
        <v>0</v>
      </c>
      <c r="AE45" s="94">
        <v>0</v>
      </c>
      <c r="AF45" s="94">
        <v>0</v>
      </c>
      <c r="AG45" s="94">
        <f>NPV(W45,AC45:AC65)</f>
        <v>2866596.1248159842</v>
      </c>
      <c r="AH45">
        <f t="shared" si="3"/>
        <v>20</v>
      </c>
      <c r="AI45" s="94">
        <f t="shared" si="4"/>
        <v>0</v>
      </c>
      <c r="AJ45" s="94">
        <f t="shared" si="5"/>
        <v>0</v>
      </c>
      <c r="AK45" s="94">
        <f t="shared" si="6"/>
        <v>0</v>
      </c>
      <c r="AL45" s="94">
        <f t="shared" si="15"/>
        <v>2866596.1248159818</v>
      </c>
      <c r="AM45" s="94">
        <f t="shared" si="7"/>
        <v>25038.552806435524</v>
      </c>
      <c r="AN45" s="94">
        <f t="shared" si="8"/>
        <v>-150000</v>
      </c>
      <c r="AO45" s="94">
        <f t="shared" si="9"/>
        <v>0</v>
      </c>
      <c r="AP45" s="94">
        <f t="shared" si="10"/>
        <v>2741634.6776224175</v>
      </c>
      <c r="AQ45" s="94">
        <v>0</v>
      </c>
      <c r="AR45" s="94">
        <v>0</v>
      </c>
      <c r="AS45" s="94">
        <v>0</v>
      </c>
      <c r="AT45" s="94">
        <f t="shared" si="16"/>
        <v>2553685.3229553979</v>
      </c>
      <c r="AU45" s="94">
        <v>0</v>
      </c>
      <c r="AV45" s="94"/>
      <c r="AW45" s="94">
        <f t="shared" si="11"/>
        <v>0</v>
      </c>
      <c r="AX45" s="94">
        <f t="shared" si="17"/>
        <v>0</v>
      </c>
      <c r="AY45">
        <f t="shared" si="12"/>
        <v>20</v>
      </c>
      <c r="AZ45" s="94">
        <f t="shared" si="13"/>
        <v>121604.06299787608</v>
      </c>
      <c r="BA45" s="94">
        <f t="shared" si="14"/>
        <v>2432081.2599575217</v>
      </c>
      <c r="BB45" t="s">
        <v>9</v>
      </c>
      <c r="BC45" t="s">
        <v>56</v>
      </c>
      <c r="BD45" s="9">
        <v>45810.626458333332</v>
      </c>
    </row>
    <row r="46" spans="1:56" x14ac:dyDescent="0.25">
      <c r="A46" s="11"/>
      <c r="B46" s="22"/>
      <c r="C46" s="23"/>
      <c r="D46" s="8"/>
      <c r="E46" s="122">
        <v>29</v>
      </c>
      <c r="F46" s="3">
        <v>46904</v>
      </c>
      <c r="G46" s="3">
        <v>45992</v>
      </c>
      <c r="H46" s="3">
        <v>47483</v>
      </c>
      <c r="I46" s="3" t="s">
        <v>61</v>
      </c>
      <c r="J46" s="3">
        <v>47483</v>
      </c>
      <c r="K46" s="3" t="s">
        <v>61</v>
      </c>
      <c r="L46" s="3">
        <v>47483</v>
      </c>
      <c r="M46" s="3">
        <v>47483</v>
      </c>
      <c r="N46" s="122">
        <v>48</v>
      </c>
      <c r="O46" s="3" t="s">
        <v>61</v>
      </c>
      <c r="P46" s="122">
        <v>5</v>
      </c>
      <c r="Q46" s="3">
        <v>47818</v>
      </c>
      <c r="R46" s="3">
        <v>47483</v>
      </c>
      <c r="S46" s="122">
        <v>48</v>
      </c>
      <c r="T46" s="5">
        <v>0.08</v>
      </c>
      <c r="U46" s="5">
        <v>0.11</v>
      </c>
      <c r="V46" t="s">
        <v>134</v>
      </c>
      <c r="W46" s="5">
        <v>8.7345938235519061E-3</v>
      </c>
      <c r="Y46" s="94">
        <v>150000</v>
      </c>
      <c r="Z46" s="94">
        <v>0</v>
      </c>
      <c r="AA46" s="94">
        <f t="shared" si="1"/>
        <v>150000</v>
      </c>
      <c r="AB46" s="94"/>
      <c r="AC46" s="94">
        <f t="shared" si="2"/>
        <v>150000</v>
      </c>
      <c r="AD46" s="94">
        <v>0</v>
      </c>
      <c r="AE46" s="94">
        <v>0</v>
      </c>
      <c r="AF46" s="94">
        <v>0</v>
      </c>
      <c r="AG46" s="94">
        <f>NPV(W46,AC46:AC65)</f>
        <v>2741634.6776224198</v>
      </c>
      <c r="AH46">
        <f t="shared" si="3"/>
        <v>19</v>
      </c>
      <c r="AI46" s="94">
        <f t="shared" si="4"/>
        <v>0</v>
      </c>
      <c r="AJ46" s="94">
        <f t="shared" si="5"/>
        <v>0</v>
      </c>
      <c r="AK46" s="94">
        <f t="shared" si="6"/>
        <v>0</v>
      </c>
      <c r="AL46" s="94">
        <f t="shared" si="15"/>
        <v>2741634.6776224175</v>
      </c>
      <c r="AM46" s="94">
        <f t="shared" si="7"/>
        <v>23947.06532159651</v>
      </c>
      <c r="AN46" s="94">
        <f t="shared" si="8"/>
        <v>-150000</v>
      </c>
      <c r="AO46" s="94">
        <f t="shared" si="9"/>
        <v>0</v>
      </c>
      <c r="AP46" s="94">
        <f t="shared" si="10"/>
        <v>2615581.7429440138</v>
      </c>
      <c r="AQ46" s="94">
        <v>0</v>
      </c>
      <c r="AR46" s="94">
        <v>0</v>
      </c>
      <c r="AS46" s="94">
        <v>0</v>
      </c>
      <c r="AT46" s="94">
        <f t="shared" si="16"/>
        <v>2432081.2599575217</v>
      </c>
      <c r="AU46" s="94">
        <v>0</v>
      </c>
      <c r="AV46" s="94"/>
      <c r="AW46" s="94">
        <f t="shared" si="11"/>
        <v>0</v>
      </c>
      <c r="AX46" s="94">
        <f t="shared" si="17"/>
        <v>0</v>
      </c>
      <c r="AY46">
        <f t="shared" si="12"/>
        <v>19</v>
      </c>
      <c r="AZ46" s="94">
        <f t="shared" si="13"/>
        <v>121604.06299787608</v>
      </c>
      <c r="BA46" s="94">
        <f t="shared" si="14"/>
        <v>2310477.1969596455</v>
      </c>
      <c r="BB46" t="s">
        <v>9</v>
      </c>
      <c r="BC46" t="s">
        <v>56</v>
      </c>
      <c r="BD46" s="9">
        <v>45810.626458333332</v>
      </c>
    </row>
    <row r="47" spans="1:56" x14ac:dyDescent="0.25">
      <c r="A47" s="11"/>
      <c r="B47" s="22" t="s">
        <v>25</v>
      </c>
      <c r="C47" s="25" t="s">
        <v>156</v>
      </c>
      <c r="D47" s="8"/>
      <c r="E47" s="122">
        <v>30</v>
      </c>
      <c r="F47" s="3">
        <v>46934</v>
      </c>
      <c r="G47" s="3">
        <v>45992</v>
      </c>
      <c r="H47" s="3">
        <v>47483</v>
      </c>
      <c r="I47" s="3" t="s">
        <v>61</v>
      </c>
      <c r="J47" s="3">
        <v>47483</v>
      </c>
      <c r="K47" s="3" t="s">
        <v>61</v>
      </c>
      <c r="L47" s="3">
        <v>47483</v>
      </c>
      <c r="M47" s="3">
        <v>47483</v>
      </c>
      <c r="N47" s="122">
        <v>48</v>
      </c>
      <c r="O47" s="3" t="s">
        <v>61</v>
      </c>
      <c r="P47" s="122">
        <v>5</v>
      </c>
      <c r="Q47" s="3">
        <v>47818</v>
      </c>
      <c r="R47" s="3">
        <v>47483</v>
      </c>
      <c r="S47" s="122">
        <v>48</v>
      </c>
      <c r="T47" s="5">
        <v>0.08</v>
      </c>
      <c r="U47" s="5">
        <v>0.11</v>
      </c>
      <c r="V47" t="s">
        <v>134</v>
      </c>
      <c r="W47" s="5">
        <v>8.7345938235519061E-3</v>
      </c>
      <c r="Y47" s="94">
        <v>150000</v>
      </c>
      <c r="Z47" s="94">
        <v>0</v>
      </c>
      <c r="AA47" s="94">
        <f t="shared" si="1"/>
        <v>150000</v>
      </c>
      <c r="AB47" s="94"/>
      <c r="AC47" s="94">
        <f t="shared" si="2"/>
        <v>150000</v>
      </c>
      <c r="AD47" s="94">
        <v>0</v>
      </c>
      <c r="AE47" s="94">
        <v>0</v>
      </c>
      <c r="AF47" s="94">
        <v>0</v>
      </c>
      <c r="AG47" s="94">
        <f>NPV(W47,AC47:AC65)</f>
        <v>2615581.7429440161</v>
      </c>
      <c r="AH47">
        <f t="shared" si="3"/>
        <v>18</v>
      </c>
      <c r="AI47" s="94">
        <f t="shared" si="4"/>
        <v>0</v>
      </c>
      <c r="AJ47" s="94">
        <f t="shared" si="5"/>
        <v>0</v>
      </c>
      <c r="AK47" s="94">
        <f t="shared" si="6"/>
        <v>0</v>
      </c>
      <c r="AL47" s="94">
        <f t="shared" si="15"/>
        <v>2615581.7429440138</v>
      </c>
      <c r="AM47" s="94">
        <f t="shared" si="7"/>
        <v>22846.044136913933</v>
      </c>
      <c r="AN47" s="94">
        <f t="shared" si="8"/>
        <v>-150000</v>
      </c>
      <c r="AO47" s="94">
        <f t="shared" si="9"/>
        <v>0</v>
      </c>
      <c r="AP47" s="94">
        <f t="shared" si="10"/>
        <v>2488427.7870809278</v>
      </c>
      <c r="AQ47" s="94">
        <v>0</v>
      </c>
      <c r="AR47" s="94">
        <v>0</v>
      </c>
      <c r="AS47" s="94">
        <v>0</v>
      </c>
      <c r="AT47" s="94">
        <f t="shared" si="16"/>
        <v>2310477.1969596455</v>
      </c>
      <c r="AU47" s="94">
        <v>0</v>
      </c>
      <c r="AV47" s="94"/>
      <c r="AW47" s="94">
        <f t="shared" si="11"/>
        <v>0</v>
      </c>
      <c r="AX47" s="94">
        <f t="shared" si="17"/>
        <v>0</v>
      </c>
      <c r="AY47">
        <f t="shared" si="12"/>
        <v>18</v>
      </c>
      <c r="AZ47" s="94">
        <f t="shared" si="13"/>
        <v>121604.06299787608</v>
      </c>
      <c r="BA47" s="94">
        <f t="shared" si="14"/>
        <v>2188873.1339617693</v>
      </c>
      <c r="BB47" t="s">
        <v>9</v>
      </c>
      <c r="BC47" t="s">
        <v>56</v>
      </c>
      <c r="BD47" s="9">
        <v>45810.626458333332</v>
      </c>
    </row>
    <row r="48" spans="1:56" x14ac:dyDescent="0.25">
      <c r="A48" s="11"/>
      <c r="B48" s="32" t="str">
        <f>"Total fixed "&amp;LOWER(C47)&amp;" payment"</f>
        <v>Total fixed monthly payment</v>
      </c>
      <c r="C48" s="33">
        <v>150000</v>
      </c>
      <c r="D48" s="8"/>
      <c r="E48" s="122">
        <v>31</v>
      </c>
      <c r="F48" s="3">
        <v>46965</v>
      </c>
      <c r="G48" s="3">
        <v>45992</v>
      </c>
      <c r="H48" s="3">
        <v>47483</v>
      </c>
      <c r="I48" s="3" t="s">
        <v>61</v>
      </c>
      <c r="J48" s="3">
        <v>47483</v>
      </c>
      <c r="K48" s="3" t="s">
        <v>61</v>
      </c>
      <c r="L48" s="3">
        <v>47483</v>
      </c>
      <c r="M48" s="3">
        <v>47483</v>
      </c>
      <c r="N48" s="122">
        <v>48</v>
      </c>
      <c r="O48" s="3" t="s">
        <v>61</v>
      </c>
      <c r="P48" s="122">
        <v>5</v>
      </c>
      <c r="Q48" s="3">
        <v>47818</v>
      </c>
      <c r="R48" s="3">
        <v>47483</v>
      </c>
      <c r="S48" s="122">
        <v>48</v>
      </c>
      <c r="T48" s="5">
        <v>0.08</v>
      </c>
      <c r="U48" s="5">
        <v>0.11</v>
      </c>
      <c r="V48" t="s">
        <v>134</v>
      </c>
      <c r="W48" s="5">
        <v>8.7345938235519061E-3</v>
      </c>
      <c r="Y48" s="94">
        <v>150000</v>
      </c>
      <c r="Z48" s="94">
        <v>0</v>
      </c>
      <c r="AA48" s="94">
        <f t="shared" si="1"/>
        <v>150000</v>
      </c>
      <c r="AB48" s="94"/>
      <c r="AC48" s="94">
        <f t="shared" si="2"/>
        <v>150000</v>
      </c>
      <c r="AD48" s="94">
        <v>0</v>
      </c>
      <c r="AE48" s="94">
        <v>0</v>
      </c>
      <c r="AF48" s="94">
        <v>0</v>
      </c>
      <c r="AG48" s="94">
        <f>NPV(W48,AC48:AC65)</f>
        <v>2488427.7870809301</v>
      </c>
      <c r="AH48">
        <f t="shared" si="3"/>
        <v>17</v>
      </c>
      <c r="AI48" s="94">
        <f t="shared" si="4"/>
        <v>0</v>
      </c>
      <c r="AJ48" s="94">
        <f t="shared" si="5"/>
        <v>0</v>
      </c>
      <c r="AK48" s="94">
        <f t="shared" si="6"/>
        <v>0</v>
      </c>
      <c r="AL48" s="94">
        <f t="shared" si="15"/>
        <v>2488427.7870809278</v>
      </c>
      <c r="AM48" s="94">
        <f t="shared" si="7"/>
        <v>21735.405979392028</v>
      </c>
      <c r="AN48" s="94">
        <f t="shared" si="8"/>
        <v>-150000</v>
      </c>
      <c r="AO48" s="94">
        <f t="shared" si="9"/>
        <v>0</v>
      </c>
      <c r="AP48" s="94">
        <f t="shared" si="10"/>
        <v>2360163.1930603199</v>
      </c>
      <c r="AQ48" s="94">
        <v>0</v>
      </c>
      <c r="AR48" s="94">
        <v>0</v>
      </c>
      <c r="AS48" s="94">
        <v>0</v>
      </c>
      <c r="AT48" s="94">
        <f t="shared" si="16"/>
        <v>2188873.1339617693</v>
      </c>
      <c r="AU48" s="94">
        <v>0</v>
      </c>
      <c r="AV48" s="94"/>
      <c r="AW48" s="94">
        <f t="shared" si="11"/>
        <v>0</v>
      </c>
      <c r="AX48" s="94">
        <f t="shared" si="17"/>
        <v>0</v>
      </c>
      <c r="AY48">
        <f t="shared" si="12"/>
        <v>17</v>
      </c>
      <c r="AZ48" s="94">
        <f t="shared" si="13"/>
        <v>121604.06299787607</v>
      </c>
      <c r="BA48" s="94">
        <f t="shared" si="14"/>
        <v>2067269.0709638933</v>
      </c>
      <c r="BB48" t="s">
        <v>9</v>
      </c>
      <c r="BC48" t="s">
        <v>56</v>
      </c>
      <c r="BD48" s="9">
        <v>45810.626458333332</v>
      </c>
    </row>
    <row r="49" spans="1:56" x14ac:dyDescent="0.25">
      <c r="A49" s="11"/>
      <c r="B49" s="32" t="s">
        <v>26</v>
      </c>
      <c r="C49" s="33">
        <v>0</v>
      </c>
      <c r="D49" s="8"/>
      <c r="E49" s="122">
        <v>32</v>
      </c>
      <c r="F49" s="3">
        <v>46996</v>
      </c>
      <c r="G49" s="3">
        <v>45992</v>
      </c>
      <c r="H49" s="3">
        <v>47483</v>
      </c>
      <c r="I49" s="3" t="s">
        <v>61</v>
      </c>
      <c r="J49" s="3">
        <v>47483</v>
      </c>
      <c r="K49" s="3" t="s">
        <v>61</v>
      </c>
      <c r="L49" s="3">
        <v>47483</v>
      </c>
      <c r="M49" s="3">
        <v>47483</v>
      </c>
      <c r="N49" s="122">
        <v>48</v>
      </c>
      <c r="O49" s="3" t="s">
        <v>61</v>
      </c>
      <c r="P49" s="122">
        <v>5</v>
      </c>
      <c r="Q49" s="3">
        <v>47818</v>
      </c>
      <c r="R49" s="3">
        <v>47483</v>
      </c>
      <c r="S49" s="122">
        <v>48</v>
      </c>
      <c r="T49" s="5">
        <v>0.08</v>
      </c>
      <c r="U49" s="5">
        <v>0.11</v>
      </c>
      <c r="V49" t="s">
        <v>134</v>
      </c>
      <c r="W49" s="5">
        <v>8.7345938235519061E-3</v>
      </c>
      <c r="Y49" s="94">
        <v>150000</v>
      </c>
      <c r="Z49" s="94">
        <v>0</v>
      </c>
      <c r="AA49" s="94">
        <f t="shared" ref="AA49:AA80" si="18">Y49-Z49</f>
        <v>150000</v>
      </c>
      <c r="AB49" s="94"/>
      <c r="AC49" s="94">
        <f t="shared" ref="AC49:AC80" si="19">AA49+AB49</f>
        <v>150000</v>
      </c>
      <c r="AD49" s="94">
        <v>0</v>
      </c>
      <c r="AE49" s="94">
        <v>0</v>
      </c>
      <c r="AF49" s="94">
        <v>0</v>
      </c>
      <c r="AG49" s="94">
        <f>NPV(W49,AC49:AC65)</f>
        <v>2360163.1930603222</v>
      </c>
      <c r="AH49">
        <f t="shared" ref="AH49:AH65" si="20">N49-((YEAR(F49)-YEAR(G49))*12+MONTH(F49)-MONTH(G49))</f>
        <v>16</v>
      </c>
      <c r="AI49" s="94">
        <f t="shared" ref="AI49:AI80" si="21">AD49/POWER(1+W49,AH49+1)</f>
        <v>0</v>
      </c>
      <c r="AJ49" s="94">
        <f t="shared" ref="AJ49:AJ65" si="22">AE49/POWER(1+W49,AH49+1)</f>
        <v>0</v>
      </c>
      <c r="AK49" s="94">
        <f t="shared" ref="AK49:AK65" si="23">AF49/POWER(1+W49,AH49+1)</f>
        <v>0</v>
      </c>
      <c r="AL49" s="94">
        <f t="shared" si="15"/>
        <v>2360163.1930603199</v>
      </c>
      <c r="AM49" s="94">
        <f t="shared" ref="AM49:AM65" si="24">(AG49+AI49+AJ49+AK49)*W49</f>
        <v>20615.066848679235</v>
      </c>
      <c r="AN49" s="94">
        <f t="shared" ref="AN49:AN65" si="25">-AC49</f>
        <v>-150000</v>
      </c>
      <c r="AO49" s="94">
        <f t="shared" ref="AO49:AO65" si="26">AG49+AI49+AJ49+AK49-AL49</f>
        <v>0</v>
      </c>
      <c r="AP49" s="94">
        <f t="shared" ref="AP49:AP80" si="27">AL49+AM49+AN49+AO49</f>
        <v>2230778.2599089993</v>
      </c>
      <c r="AQ49" s="94">
        <v>0</v>
      </c>
      <c r="AR49" s="94">
        <v>0</v>
      </c>
      <c r="AS49" s="94">
        <v>0</v>
      </c>
      <c r="AT49" s="94">
        <f t="shared" si="16"/>
        <v>2067269.0709638933</v>
      </c>
      <c r="AU49" s="94">
        <v>0</v>
      </c>
      <c r="AV49" s="94"/>
      <c r="AW49" s="94">
        <f t="shared" ref="AW49:AW65" si="28">AO49</f>
        <v>0</v>
      </c>
      <c r="AX49" s="94">
        <f t="shared" si="17"/>
        <v>0</v>
      </c>
      <c r="AY49">
        <f t="shared" ref="AY49:AY65" si="29">S49-((YEAR(F49)-YEAR(G49))*12+MONTH(F49)-MONTH(G49))</f>
        <v>16</v>
      </c>
      <c r="AZ49" s="94">
        <f t="shared" ref="AZ49:AZ80" si="30">(AT49-AU49-AV49+AW49+AX49)/(AY49+1)</f>
        <v>121604.06299787608</v>
      </c>
      <c r="BA49" s="94">
        <f t="shared" ref="BA49:BA80" si="31">AT49-AV49+AW49+AX49-AZ49</f>
        <v>1945665.0079660174</v>
      </c>
      <c r="BB49" t="s">
        <v>9</v>
      </c>
      <c r="BC49" t="s">
        <v>56</v>
      </c>
      <c r="BD49" s="9">
        <v>45810.626458333332</v>
      </c>
    </row>
    <row r="50" spans="1:56" x14ac:dyDescent="0.25">
      <c r="A50" s="11"/>
      <c r="B50" s="22" t="s">
        <v>19</v>
      </c>
      <c r="C50" s="34">
        <f>+C48-C49</f>
        <v>150000</v>
      </c>
      <c r="D50" s="8"/>
      <c r="E50" s="122">
        <v>33</v>
      </c>
      <c r="F50" s="3">
        <v>47026</v>
      </c>
      <c r="G50" s="3">
        <v>45992</v>
      </c>
      <c r="H50" s="3">
        <v>47483</v>
      </c>
      <c r="I50" s="3" t="s">
        <v>61</v>
      </c>
      <c r="J50" s="3">
        <v>47483</v>
      </c>
      <c r="K50" s="3" t="s">
        <v>61</v>
      </c>
      <c r="L50" s="3">
        <v>47483</v>
      </c>
      <c r="M50" s="3">
        <v>47483</v>
      </c>
      <c r="N50" s="122">
        <v>48</v>
      </c>
      <c r="O50" s="3" t="s">
        <v>61</v>
      </c>
      <c r="P50" s="122">
        <v>5</v>
      </c>
      <c r="Q50" s="3">
        <v>47818</v>
      </c>
      <c r="R50" s="3">
        <v>47483</v>
      </c>
      <c r="S50" s="122">
        <v>48</v>
      </c>
      <c r="T50" s="5">
        <v>0.08</v>
      </c>
      <c r="U50" s="5">
        <v>0.11</v>
      </c>
      <c r="V50" t="s">
        <v>134</v>
      </c>
      <c r="W50" s="5">
        <v>8.7345938235519061E-3</v>
      </c>
      <c r="Y50" s="94">
        <v>150000</v>
      </c>
      <c r="Z50" s="94">
        <v>0</v>
      </c>
      <c r="AA50" s="94">
        <f t="shared" si="18"/>
        <v>150000</v>
      </c>
      <c r="AB50" s="94"/>
      <c r="AC50" s="94">
        <f t="shared" si="19"/>
        <v>150000</v>
      </c>
      <c r="AD50" s="94">
        <v>0</v>
      </c>
      <c r="AE50" s="94">
        <v>0</v>
      </c>
      <c r="AF50" s="94">
        <v>0</v>
      </c>
      <c r="AG50" s="94">
        <f>NPV(W50,AC50:AC65)</f>
        <v>2230778.2599090016</v>
      </c>
      <c r="AH50">
        <f t="shared" si="20"/>
        <v>15</v>
      </c>
      <c r="AI50" s="94">
        <f t="shared" si="21"/>
        <v>0</v>
      </c>
      <c r="AJ50" s="94">
        <f t="shared" si="22"/>
        <v>0</v>
      </c>
      <c r="AK50" s="94">
        <f t="shared" si="23"/>
        <v>0</v>
      </c>
      <c r="AL50" s="94">
        <f t="shared" si="15"/>
        <v>2230778.2599089993</v>
      </c>
      <c r="AM50" s="94">
        <f t="shared" si="24"/>
        <v>19484.942010715033</v>
      </c>
      <c r="AN50" s="94">
        <f t="shared" si="25"/>
        <v>-150000</v>
      </c>
      <c r="AO50" s="94">
        <f t="shared" si="26"/>
        <v>0</v>
      </c>
      <c r="AP50" s="94">
        <f t="shared" si="27"/>
        <v>2100263.2019197145</v>
      </c>
      <c r="AQ50" s="94">
        <v>0</v>
      </c>
      <c r="AR50" s="94">
        <v>0</v>
      </c>
      <c r="AS50" s="94">
        <v>0</v>
      </c>
      <c r="AT50" s="94">
        <f t="shared" si="16"/>
        <v>1945665.0079660174</v>
      </c>
      <c r="AU50" s="94">
        <v>0</v>
      </c>
      <c r="AV50" s="94"/>
      <c r="AW50" s="94">
        <f t="shared" si="28"/>
        <v>0</v>
      </c>
      <c r="AX50" s="94">
        <f t="shared" si="17"/>
        <v>0</v>
      </c>
      <c r="AY50">
        <f t="shared" si="29"/>
        <v>15</v>
      </c>
      <c r="AZ50" s="94">
        <f t="shared" si="30"/>
        <v>121604.06299787608</v>
      </c>
      <c r="BA50" s="94">
        <f t="shared" si="31"/>
        <v>1824060.9449681411</v>
      </c>
      <c r="BB50" t="s">
        <v>9</v>
      </c>
      <c r="BC50" t="s">
        <v>56</v>
      </c>
      <c r="BD50" s="9">
        <v>45810.626458333332</v>
      </c>
    </row>
    <row r="51" spans="1:56" x14ac:dyDescent="0.25">
      <c r="A51" s="11"/>
      <c r="B51" s="22"/>
      <c r="C51" s="23"/>
      <c r="D51" s="8"/>
      <c r="E51" s="122">
        <v>34</v>
      </c>
      <c r="F51" s="3">
        <v>47057</v>
      </c>
      <c r="G51" s="3">
        <v>45992</v>
      </c>
      <c r="H51" s="3">
        <v>47483</v>
      </c>
      <c r="I51" s="3" t="s">
        <v>61</v>
      </c>
      <c r="J51" s="3">
        <v>47483</v>
      </c>
      <c r="K51" s="3" t="s">
        <v>61</v>
      </c>
      <c r="L51" s="3">
        <v>47483</v>
      </c>
      <c r="M51" s="3">
        <v>47483</v>
      </c>
      <c r="N51" s="122">
        <v>48</v>
      </c>
      <c r="O51" s="3" t="s">
        <v>61</v>
      </c>
      <c r="P51" s="122">
        <v>5</v>
      </c>
      <c r="Q51" s="3">
        <v>47818</v>
      </c>
      <c r="R51" s="3">
        <v>47483</v>
      </c>
      <c r="S51" s="122">
        <v>48</v>
      </c>
      <c r="T51" s="5">
        <v>0.08</v>
      </c>
      <c r="U51" s="5">
        <v>0.11</v>
      </c>
      <c r="V51" t="s">
        <v>134</v>
      </c>
      <c r="W51" s="5">
        <v>8.7345938235519061E-3</v>
      </c>
      <c r="Y51" s="94">
        <v>150000</v>
      </c>
      <c r="Z51" s="94">
        <v>0</v>
      </c>
      <c r="AA51" s="94">
        <f t="shared" si="18"/>
        <v>150000</v>
      </c>
      <c r="AB51" s="94"/>
      <c r="AC51" s="94">
        <f t="shared" si="19"/>
        <v>150000</v>
      </c>
      <c r="AD51" s="94">
        <v>0</v>
      </c>
      <c r="AE51" s="94">
        <v>0</v>
      </c>
      <c r="AF51" s="94">
        <v>0</v>
      </c>
      <c r="AG51" s="94">
        <f>NPV(W51,AC51:AC65)</f>
        <v>2100263.2019197168</v>
      </c>
      <c r="AH51">
        <f t="shared" si="20"/>
        <v>14</v>
      </c>
      <c r="AI51" s="94">
        <f t="shared" si="21"/>
        <v>0</v>
      </c>
      <c r="AJ51" s="94">
        <f t="shared" si="22"/>
        <v>0</v>
      </c>
      <c r="AK51" s="94">
        <f t="shared" si="23"/>
        <v>0</v>
      </c>
      <c r="AL51" s="94">
        <f t="shared" si="15"/>
        <v>2100263.2019197145</v>
      </c>
      <c r="AM51" s="94">
        <f t="shared" si="24"/>
        <v>18344.945991321307</v>
      </c>
      <c r="AN51" s="94">
        <f t="shared" si="25"/>
        <v>-150000</v>
      </c>
      <c r="AO51" s="94">
        <f t="shared" si="26"/>
        <v>0</v>
      </c>
      <c r="AP51" s="94">
        <f t="shared" si="27"/>
        <v>1968608.1479110359</v>
      </c>
      <c r="AQ51" s="94">
        <v>0</v>
      </c>
      <c r="AR51" s="94">
        <v>0</v>
      </c>
      <c r="AS51" s="94">
        <v>0</v>
      </c>
      <c r="AT51" s="94">
        <f t="shared" si="16"/>
        <v>1824060.9449681411</v>
      </c>
      <c r="AU51" s="94">
        <v>0</v>
      </c>
      <c r="AV51" s="94"/>
      <c r="AW51" s="94">
        <f t="shared" si="28"/>
        <v>0</v>
      </c>
      <c r="AX51" s="94">
        <f t="shared" si="17"/>
        <v>0</v>
      </c>
      <c r="AY51">
        <f t="shared" si="29"/>
        <v>14</v>
      </c>
      <c r="AZ51" s="94">
        <f t="shared" si="30"/>
        <v>121604.06299787607</v>
      </c>
      <c r="BA51" s="94">
        <f t="shared" si="31"/>
        <v>1702456.8819702652</v>
      </c>
      <c r="BB51" t="s">
        <v>9</v>
      </c>
      <c r="BC51" t="s">
        <v>56</v>
      </c>
      <c r="BD51" s="9">
        <v>45810.626458333332</v>
      </c>
    </row>
    <row r="52" spans="1:56" x14ac:dyDescent="0.25">
      <c r="A52" s="11"/>
      <c r="B52" s="86" t="str">
        <f>"Note: Variable payments are added as a second step in Section 1.1"</f>
        <v>Note: Variable payments are added as a second step in Section 1.1</v>
      </c>
      <c r="C52" s="23"/>
      <c r="D52" s="8"/>
      <c r="E52" s="122">
        <v>35</v>
      </c>
      <c r="F52" s="3">
        <v>47087</v>
      </c>
      <c r="G52" s="3">
        <v>45992</v>
      </c>
      <c r="H52" s="3">
        <v>47483</v>
      </c>
      <c r="I52" s="3" t="s">
        <v>61</v>
      </c>
      <c r="J52" s="3">
        <v>47483</v>
      </c>
      <c r="K52" s="3" t="s">
        <v>61</v>
      </c>
      <c r="L52" s="3">
        <v>47483</v>
      </c>
      <c r="M52" s="3">
        <v>47483</v>
      </c>
      <c r="N52" s="122">
        <v>48</v>
      </c>
      <c r="O52" s="3" t="s">
        <v>61</v>
      </c>
      <c r="P52" s="122">
        <v>5</v>
      </c>
      <c r="Q52" s="3">
        <v>47818</v>
      </c>
      <c r="R52" s="3">
        <v>47483</v>
      </c>
      <c r="S52" s="122">
        <v>48</v>
      </c>
      <c r="T52" s="5">
        <v>0.08</v>
      </c>
      <c r="U52" s="5">
        <v>0.11</v>
      </c>
      <c r="V52" t="s">
        <v>134</v>
      </c>
      <c r="W52" s="5">
        <v>8.7345938235519061E-3</v>
      </c>
      <c r="Y52" s="94">
        <v>150000</v>
      </c>
      <c r="Z52" s="94">
        <v>0</v>
      </c>
      <c r="AA52" s="94">
        <f t="shared" si="18"/>
        <v>150000</v>
      </c>
      <c r="AB52" s="94"/>
      <c r="AC52" s="94">
        <f t="shared" si="19"/>
        <v>150000</v>
      </c>
      <c r="AD52" s="94">
        <v>0</v>
      </c>
      <c r="AE52" s="94">
        <v>0</v>
      </c>
      <c r="AF52" s="94">
        <v>0</v>
      </c>
      <c r="AG52" s="94">
        <f>NPV(W52,AC52:AC65)</f>
        <v>1968608.1479110385</v>
      </c>
      <c r="AH52">
        <f t="shared" si="20"/>
        <v>13</v>
      </c>
      <c r="AI52" s="94">
        <f t="shared" si="21"/>
        <v>0</v>
      </c>
      <c r="AJ52" s="94">
        <f t="shared" si="22"/>
        <v>0</v>
      </c>
      <c r="AK52" s="94">
        <f t="shared" si="23"/>
        <v>0</v>
      </c>
      <c r="AL52" s="94">
        <f t="shared" si="15"/>
        <v>1968608.1479110359</v>
      </c>
      <c r="AM52" s="94">
        <f t="shared" si="24"/>
        <v>17194.992569737715</v>
      </c>
      <c r="AN52" s="94">
        <f t="shared" si="25"/>
        <v>-150000</v>
      </c>
      <c r="AO52" s="94">
        <f t="shared" si="26"/>
        <v>2.5611370801925659E-9</v>
      </c>
      <c r="AP52" s="94">
        <f t="shared" si="27"/>
        <v>1835803.1404807761</v>
      </c>
      <c r="AQ52" s="94">
        <v>0</v>
      </c>
      <c r="AR52" s="94">
        <v>0</v>
      </c>
      <c r="AS52" s="94">
        <v>0</v>
      </c>
      <c r="AT52" s="94">
        <f t="shared" si="16"/>
        <v>1702456.8819702652</v>
      </c>
      <c r="AU52" s="94">
        <v>0</v>
      </c>
      <c r="AV52" s="94"/>
      <c r="AW52" s="94">
        <f t="shared" si="28"/>
        <v>2.5611370801925659E-9</v>
      </c>
      <c r="AX52" s="94">
        <f t="shared" si="17"/>
        <v>0</v>
      </c>
      <c r="AY52">
        <f t="shared" si="29"/>
        <v>13</v>
      </c>
      <c r="AZ52" s="94">
        <f t="shared" si="30"/>
        <v>121604.06299787627</v>
      </c>
      <c r="BA52" s="94">
        <f t="shared" si="31"/>
        <v>1580852.8189723915</v>
      </c>
      <c r="BB52" t="s">
        <v>9</v>
      </c>
      <c r="BC52" t="s">
        <v>56</v>
      </c>
      <c r="BD52" s="9">
        <v>45810.626458333332</v>
      </c>
    </row>
    <row r="53" spans="1:56" x14ac:dyDescent="0.25">
      <c r="A53" s="11"/>
      <c r="B53" s="86" t="str">
        <f>"and then added to column " &amp; SUBSTITUTE(ADDRESS(1,COLUMN(AB16),4),"1","")</f>
        <v>and then added to column AB</v>
      </c>
      <c r="C53" s="23"/>
      <c r="D53" s="8"/>
      <c r="E53" s="122">
        <v>36</v>
      </c>
      <c r="F53" s="3">
        <v>47118</v>
      </c>
      <c r="G53" s="3">
        <v>45992</v>
      </c>
      <c r="H53" s="3">
        <v>47483</v>
      </c>
      <c r="I53" s="3" t="s">
        <v>61</v>
      </c>
      <c r="J53" s="3">
        <v>47483</v>
      </c>
      <c r="K53" s="3" t="s">
        <v>61</v>
      </c>
      <c r="L53" s="3">
        <v>47483</v>
      </c>
      <c r="M53" s="3">
        <v>47483</v>
      </c>
      <c r="N53" s="122">
        <v>48</v>
      </c>
      <c r="O53" s="3" t="s">
        <v>61</v>
      </c>
      <c r="P53" s="122">
        <v>5</v>
      </c>
      <c r="Q53" s="3">
        <v>47818</v>
      </c>
      <c r="R53" s="3">
        <v>47483</v>
      </c>
      <c r="S53" s="122">
        <v>48</v>
      </c>
      <c r="T53" s="5">
        <v>0.08</v>
      </c>
      <c r="U53" s="5">
        <v>0.11</v>
      </c>
      <c r="V53" t="s">
        <v>134</v>
      </c>
      <c r="W53" s="5">
        <v>8.7345938235519061E-3</v>
      </c>
      <c r="Y53" s="94">
        <v>150000</v>
      </c>
      <c r="Z53" s="94">
        <v>0</v>
      </c>
      <c r="AA53" s="94">
        <f t="shared" si="18"/>
        <v>150000</v>
      </c>
      <c r="AB53" s="94"/>
      <c r="AC53" s="94">
        <f t="shared" si="19"/>
        <v>150000</v>
      </c>
      <c r="AD53" s="94">
        <v>0</v>
      </c>
      <c r="AE53" s="94">
        <v>0</v>
      </c>
      <c r="AF53" s="94">
        <v>0</v>
      </c>
      <c r="AG53" s="94">
        <f>NPV(W53,AC53:AC65)</f>
        <v>1835803.1404807761</v>
      </c>
      <c r="AH53">
        <f t="shared" si="20"/>
        <v>12</v>
      </c>
      <c r="AI53" s="94">
        <f t="shared" si="21"/>
        <v>0</v>
      </c>
      <c r="AJ53" s="94">
        <f t="shared" si="22"/>
        <v>0</v>
      </c>
      <c r="AK53" s="94">
        <f t="shared" si="23"/>
        <v>0</v>
      </c>
      <c r="AL53" s="94">
        <f t="shared" si="15"/>
        <v>1835803.1404807761</v>
      </c>
      <c r="AM53" s="94">
        <f t="shared" si="24"/>
        <v>16034.994772100579</v>
      </c>
      <c r="AN53" s="94">
        <f t="shared" si="25"/>
        <v>-150000</v>
      </c>
      <c r="AO53" s="94">
        <f t="shared" si="26"/>
        <v>0</v>
      </c>
      <c r="AP53" s="94">
        <f t="shared" si="27"/>
        <v>1701838.1352528767</v>
      </c>
      <c r="AQ53" s="94">
        <v>0</v>
      </c>
      <c r="AR53" s="94">
        <v>0</v>
      </c>
      <c r="AS53" s="94">
        <v>0</v>
      </c>
      <c r="AT53" s="94">
        <f t="shared" si="16"/>
        <v>1580852.8189723915</v>
      </c>
      <c r="AU53" s="94">
        <v>0</v>
      </c>
      <c r="AV53" s="94"/>
      <c r="AW53" s="94">
        <f t="shared" si="28"/>
        <v>0</v>
      </c>
      <c r="AX53" s="94">
        <f t="shared" si="17"/>
        <v>0</v>
      </c>
      <c r="AY53">
        <f t="shared" si="29"/>
        <v>12</v>
      </c>
      <c r="AZ53" s="94">
        <f t="shared" si="30"/>
        <v>121604.06299787627</v>
      </c>
      <c r="BA53" s="94">
        <f t="shared" si="31"/>
        <v>1459248.7559745153</v>
      </c>
      <c r="BB53" t="s">
        <v>9</v>
      </c>
      <c r="BC53" t="s">
        <v>56</v>
      </c>
      <c r="BD53" s="9">
        <v>45810.626458333332</v>
      </c>
    </row>
    <row r="54" spans="1:56" x14ac:dyDescent="0.25">
      <c r="A54" s="11"/>
      <c r="B54" s="22"/>
      <c r="C54" s="23"/>
      <c r="E54" s="122">
        <v>37</v>
      </c>
      <c r="F54" s="3">
        <v>47149</v>
      </c>
      <c r="G54" s="3">
        <v>45992</v>
      </c>
      <c r="H54" s="3">
        <v>47483</v>
      </c>
      <c r="I54" s="3" t="s">
        <v>61</v>
      </c>
      <c r="J54" s="3">
        <v>47483</v>
      </c>
      <c r="K54" s="3" t="s">
        <v>61</v>
      </c>
      <c r="L54" s="3">
        <v>47483</v>
      </c>
      <c r="M54" s="3">
        <v>47483</v>
      </c>
      <c r="N54" s="122">
        <v>48</v>
      </c>
      <c r="O54" s="3" t="s">
        <v>61</v>
      </c>
      <c r="P54" s="122">
        <v>5</v>
      </c>
      <c r="Q54" s="3">
        <v>47818</v>
      </c>
      <c r="R54" s="3">
        <v>47483</v>
      </c>
      <c r="S54" s="122">
        <v>48</v>
      </c>
      <c r="T54" s="5">
        <v>0.08</v>
      </c>
      <c r="U54" s="5">
        <v>0.11</v>
      </c>
      <c r="V54" t="s">
        <v>134</v>
      </c>
      <c r="W54" s="5">
        <v>8.7345938235519061E-3</v>
      </c>
      <c r="Y54" s="94">
        <v>150000</v>
      </c>
      <c r="Z54" s="94">
        <v>0</v>
      </c>
      <c r="AA54" s="94">
        <f t="shared" si="18"/>
        <v>150000</v>
      </c>
      <c r="AB54" s="94"/>
      <c r="AC54" s="94">
        <f t="shared" si="19"/>
        <v>150000</v>
      </c>
      <c r="AD54" s="94">
        <v>0</v>
      </c>
      <c r="AE54" s="94">
        <v>0</v>
      </c>
      <c r="AF54" s="94">
        <v>0</v>
      </c>
      <c r="AG54" s="94">
        <f>NPV(W54,AC54:AC65)</f>
        <v>1701838.1352528767</v>
      </c>
      <c r="AH54">
        <f t="shared" si="20"/>
        <v>11</v>
      </c>
      <c r="AI54" s="94">
        <f t="shared" si="21"/>
        <v>0</v>
      </c>
      <c r="AJ54" s="94">
        <f t="shared" si="22"/>
        <v>0</v>
      </c>
      <c r="AK54" s="94">
        <f t="shared" si="23"/>
        <v>0</v>
      </c>
      <c r="AL54" s="94">
        <f t="shared" si="15"/>
        <v>1701838.1352528767</v>
      </c>
      <c r="AM54" s="94">
        <f t="shared" si="24"/>
        <v>14864.86486486487</v>
      </c>
      <c r="AN54" s="94">
        <f t="shared" si="25"/>
        <v>-150000</v>
      </c>
      <c r="AO54" s="94">
        <f t="shared" si="26"/>
        <v>0</v>
      </c>
      <c r="AP54" s="94">
        <f t="shared" si="27"/>
        <v>1566703.0001177415</v>
      </c>
      <c r="AQ54" s="94">
        <v>0</v>
      </c>
      <c r="AR54" s="94">
        <v>0</v>
      </c>
      <c r="AS54" s="94">
        <v>0</v>
      </c>
      <c r="AT54" s="94">
        <f t="shared" si="16"/>
        <v>1459248.7559745153</v>
      </c>
      <c r="AU54" s="94">
        <v>0</v>
      </c>
      <c r="AV54" s="94"/>
      <c r="AW54" s="94">
        <f t="shared" si="28"/>
        <v>0</v>
      </c>
      <c r="AX54" s="94">
        <f t="shared" si="17"/>
        <v>0</v>
      </c>
      <c r="AY54">
        <f t="shared" si="29"/>
        <v>11</v>
      </c>
      <c r="AZ54" s="94">
        <f t="shared" si="30"/>
        <v>121604.06299787627</v>
      </c>
      <c r="BA54" s="94">
        <f t="shared" si="31"/>
        <v>1337644.6929766391</v>
      </c>
      <c r="BB54" t="s">
        <v>9</v>
      </c>
      <c r="BC54" t="s">
        <v>56</v>
      </c>
      <c r="BD54" s="9">
        <v>45810.626458333332</v>
      </c>
    </row>
    <row r="55" spans="1:56" x14ac:dyDescent="0.25">
      <c r="A55" s="11"/>
      <c r="B55" s="22" t="s">
        <v>17</v>
      </c>
      <c r="C55" s="35">
        <v>0.08</v>
      </c>
      <c r="E55" s="122">
        <v>38</v>
      </c>
      <c r="F55" s="3">
        <v>47177</v>
      </c>
      <c r="G55" s="3">
        <v>45992</v>
      </c>
      <c r="H55" s="3">
        <v>47483</v>
      </c>
      <c r="I55" s="3" t="s">
        <v>61</v>
      </c>
      <c r="J55" s="3">
        <v>47483</v>
      </c>
      <c r="K55" s="3" t="s">
        <v>61</v>
      </c>
      <c r="L55" s="3">
        <v>47483</v>
      </c>
      <c r="M55" s="3">
        <v>47483</v>
      </c>
      <c r="N55" s="122">
        <v>48</v>
      </c>
      <c r="O55" s="3" t="s">
        <v>61</v>
      </c>
      <c r="P55" s="122">
        <v>5</v>
      </c>
      <c r="Q55" s="3">
        <v>47818</v>
      </c>
      <c r="R55" s="3">
        <v>47483</v>
      </c>
      <c r="S55" s="122">
        <v>48</v>
      </c>
      <c r="T55" s="5">
        <v>0.08</v>
      </c>
      <c r="U55" s="5">
        <v>0.11</v>
      </c>
      <c r="V55" t="s">
        <v>134</v>
      </c>
      <c r="W55" s="5">
        <v>8.7345938235519061E-3</v>
      </c>
      <c r="Y55" s="94">
        <v>150000</v>
      </c>
      <c r="Z55" s="94">
        <v>0</v>
      </c>
      <c r="AA55" s="94">
        <f t="shared" si="18"/>
        <v>150000</v>
      </c>
      <c r="AB55" s="94"/>
      <c r="AC55" s="94">
        <f t="shared" si="19"/>
        <v>150000</v>
      </c>
      <c r="AD55" s="94">
        <v>0</v>
      </c>
      <c r="AE55" s="94">
        <v>0</v>
      </c>
      <c r="AF55" s="94">
        <v>0</v>
      </c>
      <c r="AG55" s="94">
        <f>NPV(W55,AC55:AC65)</f>
        <v>1566703.0001177415</v>
      </c>
      <c r="AH55">
        <f t="shared" si="20"/>
        <v>10</v>
      </c>
      <c r="AI55" s="94">
        <f t="shared" si="21"/>
        <v>0</v>
      </c>
      <c r="AJ55" s="94">
        <f t="shared" si="22"/>
        <v>0</v>
      </c>
      <c r="AK55" s="94">
        <f t="shared" si="23"/>
        <v>0</v>
      </c>
      <c r="AL55" s="94">
        <f t="shared" si="15"/>
        <v>1566703.0001177415</v>
      </c>
      <c r="AM55" s="94">
        <f t="shared" si="24"/>
        <v>13684.514348168666</v>
      </c>
      <c r="AN55" s="94">
        <f t="shared" si="25"/>
        <v>-150000</v>
      </c>
      <c r="AO55" s="94">
        <f t="shared" si="26"/>
        <v>0</v>
      </c>
      <c r="AP55" s="94">
        <f t="shared" si="27"/>
        <v>1430387.5144659101</v>
      </c>
      <c r="AQ55" s="94">
        <v>0</v>
      </c>
      <c r="AR55" s="94">
        <v>0</v>
      </c>
      <c r="AS55" s="94">
        <v>0</v>
      </c>
      <c r="AT55" s="94">
        <f t="shared" si="16"/>
        <v>1337644.6929766391</v>
      </c>
      <c r="AU55" s="94">
        <v>0</v>
      </c>
      <c r="AV55" s="94"/>
      <c r="AW55" s="94">
        <f t="shared" si="28"/>
        <v>0</v>
      </c>
      <c r="AX55" s="94">
        <f t="shared" si="17"/>
        <v>0</v>
      </c>
      <c r="AY55">
        <f t="shared" si="29"/>
        <v>10</v>
      </c>
      <c r="AZ55" s="94">
        <f t="shared" si="30"/>
        <v>121604.06299787629</v>
      </c>
      <c r="BA55" s="94">
        <f t="shared" si="31"/>
        <v>1216040.6299787629</v>
      </c>
      <c r="BB55" t="s">
        <v>9</v>
      </c>
      <c r="BC55" t="s">
        <v>56</v>
      </c>
      <c r="BD55" s="9">
        <v>45810.626458333332</v>
      </c>
    </row>
    <row r="56" spans="1:56" x14ac:dyDescent="0.25">
      <c r="A56" s="11"/>
      <c r="B56" s="22" t="s">
        <v>18</v>
      </c>
      <c r="C56" s="35">
        <v>0.11</v>
      </c>
      <c r="E56" s="122">
        <v>39</v>
      </c>
      <c r="F56" s="3">
        <v>47208</v>
      </c>
      <c r="G56" s="3">
        <v>45992</v>
      </c>
      <c r="H56" s="3">
        <v>47483</v>
      </c>
      <c r="I56" s="3" t="s">
        <v>61</v>
      </c>
      <c r="J56" s="3">
        <v>47483</v>
      </c>
      <c r="K56" s="3" t="s">
        <v>61</v>
      </c>
      <c r="L56" s="3">
        <v>47483</v>
      </c>
      <c r="M56" s="3">
        <v>47483</v>
      </c>
      <c r="N56" s="122">
        <v>48</v>
      </c>
      <c r="O56" s="3" t="s">
        <v>61</v>
      </c>
      <c r="P56" s="122">
        <v>5</v>
      </c>
      <c r="Q56" s="3">
        <v>47818</v>
      </c>
      <c r="R56" s="3">
        <v>47483</v>
      </c>
      <c r="S56" s="122">
        <v>48</v>
      </c>
      <c r="T56" s="5">
        <v>0.08</v>
      </c>
      <c r="U56" s="5">
        <v>0.11</v>
      </c>
      <c r="V56" t="s">
        <v>134</v>
      </c>
      <c r="W56" s="5">
        <v>8.7345938235519061E-3</v>
      </c>
      <c r="Y56" s="94">
        <v>150000</v>
      </c>
      <c r="Z56" s="94">
        <v>0</v>
      </c>
      <c r="AA56" s="94">
        <f t="shared" si="18"/>
        <v>150000</v>
      </c>
      <c r="AB56" s="94"/>
      <c r="AC56" s="94">
        <f t="shared" si="19"/>
        <v>150000</v>
      </c>
      <c r="AD56" s="94">
        <v>0</v>
      </c>
      <c r="AE56" s="94">
        <v>0</v>
      </c>
      <c r="AF56" s="94">
        <v>0</v>
      </c>
      <c r="AG56" s="94">
        <f>NPV(W56,AC56:AC65)</f>
        <v>1430387.5144659104</v>
      </c>
      <c r="AH56">
        <f t="shared" si="20"/>
        <v>9</v>
      </c>
      <c r="AI56" s="94">
        <f t="shared" si="21"/>
        <v>0</v>
      </c>
      <c r="AJ56" s="94">
        <f t="shared" si="22"/>
        <v>0</v>
      </c>
      <c r="AK56" s="94">
        <f t="shared" si="23"/>
        <v>0</v>
      </c>
      <c r="AL56" s="94">
        <f t="shared" si="15"/>
        <v>1430387.5144659101</v>
      </c>
      <c r="AM56" s="94">
        <f t="shared" si="24"/>
        <v>12493.853949139704</v>
      </c>
      <c r="AN56" s="94">
        <f t="shared" si="25"/>
        <v>-150000</v>
      </c>
      <c r="AO56" s="94">
        <f t="shared" si="26"/>
        <v>0</v>
      </c>
      <c r="AP56" s="94">
        <f t="shared" si="27"/>
        <v>1292881.3684150497</v>
      </c>
      <c r="AQ56" s="94">
        <v>0</v>
      </c>
      <c r="AR56" s="94">
        <v>0</v>
      </c>
      <c r="AS56" s="94">
        <v>0</v>
      </c>
      <c r="AT56" s="94">
        <f t="shared" si="16"/>
        <v>1216040.6299787629</v>
      </c>
      <c r="AU56" s="94">
        <v>0</v>
      </c>
      <c r="AV56" s="94"/>
      <c r="AW56" s="94">
        <f t="shared" si="28"/>
        <v>0</v>
      </c>
      <c r="AX56" s="94">
        <f t="shared" si="17"/>
        <v>0</v>
      </c>
      <c r="AY56">
        <f t="shared" si="29"/>
        <v>9</v>
      </c>
      <c r="AZ56" s="94">
        <f t="shared" si="30"/>
        <v>121604.06299787629</v>
      </c>
      <c r="BA56" s="94">
        <f t="shared" si="31"/>
        <v>1094436.5669808867</v>
      </c>
      <c r="BB56" t="s">
        <v>9</v>
      </c>
      <c r="BC56" t="s">
        <v>56</v>
      </c>
      <c r="BD56" s="9">
        <v>45810.626458333332</v>
      </c>
    </row>
    <row r="57" spans="1:56" x14ac:dyDescent="0.25">
      <c r="A57" s="11"/>
      <c r="B57" s="22" t="s">
        <v>44</v>
      </c>
      <c r="C57" s="25" t="s">
        <v>134</v>
      </c>
      <c r="E57" s="122">
        <v>40</v>
      </c>
      <c r="F57" s="3">
        <v>47238</v>
      </c>
      <c r="G57" s="3">
        <v>45992</v>
      </c>
      <c r="H57" s="3">
        <v>47483</v>
      </c>
      <c r="I57" s="3" t="s">
        <v>61</v>
      </c>
      <c r="J57" s="3">
        <v>47483</v>
      </c>
      <c r="K57" s="3" t="s">
        <v>61</v>
      </c>
      <c r="L57" s="3">
        <v>47483</v>
      </c>
      <c r="M57" s="3">
        <v>47483</v>
      </c>
      <c r="N57" s="122">
        <v>48</v>
      </c>
      <c r="O57" s="3" t="s">
        <v>61</v>
      </c>
      <c r="P57" s="122">
        <v>5</v>
      </c>
      <c r="Q57" s="3">
        <v>47818</v>
      </c>
      <c r="R57" s="3">
        <v>47483</v>
      </c>
      <c r="S57" s="122">
        <v>48</v>
      </c>
      <c r="T57" s="5">
        <v>0.08</v>
      </c>
      <c r="U57" s="5">
        <v>0.11</v>
      </c>
      <c r="V57" t="s">
        <v>134</v>
      </c>
      <c r="W57" s="5">
        <v>8.7345938235519061E-3</v>
      </c>
      <c r="Y57" s="94">
        <v>150000</v>
      </c>
      <c r="Z57" s="94">
        <v>0</v>
      </c>
      <c r="AA57" s="94">
        <f t="shared" si="18"/>
        <v>150000</v>
      </c>
      <c r="AB57" s="94"/>
      <c r="AC57" s="94">
        <f t="shared" si="19"/>
        <v>150000</v>
      </c>
      <c r="AD57" s="94">
        <v>0</v>
      </c>
      <c r="AE57" s="94">
        <v>0</v>
      </c>
      <c r="AF57" s="94">
        <v>0</v>
      </c>
      <c r="AG57" s="94">
        <f>NPV(W57,AC57:AC65)</f>
        <v>1292881.36841505</v>
      </c>
      <c r="AH57">
        <f t="shared" si="20"/>
        <v>8</v>
      </c>
      <c r="AI57" s="94">
        <f t="shared" si="21"/>
        <v>0</v>
      </c>
      <c r="AJ57" s="94">
        <f t="shared" si="22"/>
        <v>0</v>
      </c>
      <c r="AK57" s="94">
        <f t="shared" si="23"/>
        <v>0</v>
      </c>
      <c r="AL57" s="94">
        <f t="shared" si="15"/>
        <v>1292881.3684150497</v>
      </c>
      <c r="AM57" s="94">
        <f t="shared" si="24"/>
        <v>11292.793615143431</v>
      </c>
      <c r="AN57" s="94">
        <f t="shared" si="25"/>
        <v>-150000</v>
      </c>
      <c r="AO57" s="94">
        <f t="shared" si="26"/>
        <v>0</v>
      </c>
      <c r="AP57" s="94">
        <f t="shared" si="27"/>
        <v>1154174.1620301933</v>
      </c>
      <c r="AQ57" s="94">
        <v>0</v>
      </c>
      <c r="AR57" s="94">
        <v>0</v>
      </c>
      <c r="AS57" s="94">
        <v>0</v>
      </c>
      <c r="AT57" s="94">
        <f t="shared" si="16"/>
        <v>1094436.5669808867</v>
      </c>
      <c r="AU57" s="94">
        <v>0</v>
      </c>
      <c r="AV57" s="94"/>
      <c r="AW57" s="94">
        <f t="shared" si="28"/>
        <v>0</v>
      </c>
      <c r="AX57" s="94">
        <f t="shared" si="17"/>
        <v>0</v>
      </c>
      <c r="AY57">
        <f t="shared" si="29"/>
        <v>8</v>
      </c>
      <c r="AZ57" s="94">
        <f t="shared" si="30"/>
        <v>121604.0629978763</v>
      </c>
      <c r="BA57" s="94">
        <f t="shared" si="31"/>
        <v>972832.50398301042</v>
      </c>
      <c r="BB57" t="s">
        <v>9</v>
      </c>
      <c r="BC57" t="s">
        <v>56</v>
      </c>
      <c r="BD57" s="9">
        <v>45810.626458333332</v>
      </c>
    </row>
    <row r="58" spans="1:56" x14ac:dyDescent="0.25">
      <c r="A58" s="11"/>
      <c r="B58" s="22" t="s">
        <v>62</v>
      </c>
      <c r="C58" s="36">
        <f>IF(ISNUMBER(SEARCH("IRIL",C57)),Rate_IRIL,Rate_IBR)</f>
        <v>0.11</v>
      </c>
      <c r="E58" s="122">
        <v>41</v>
      </c>
      <c r="F58" s="3">
        <v>47269</v>
      </c>
      <c r="G58" s="3">
        <v>45992</v>
      </c>
      <c r="H58" s="3">
        <v>47483</v>
      </c>
      <c r="I58" s="3" t="s">
        <v>61</v>
      </c>
      <c r="J58" s="3">
        <v>47483</v>
      </c>
      <c r="K58" s="3" t="s">
        <v>61</v>
      </c>
      <c r="L58" s="3">
        <v>47483</v>
      </c>
      <c r="M58" s="3">
        <v>47483</v>
      </c>
      <c r="N58" s="122">
        <v>48</v>
      </c>
      <c r="O58" s="3" t="s">
        <v>61</v>
      </c>
      <c r="P58" s="122">
        <v>5</v>
      </c>
      <c r="Q58" s="3">
        <v>47818</v>
      </c>
      <c r="R58" s="3">
        <v>47483</v>
      </c>
      <c r="S58" s="122">
        <v>48</v>
      </c>
      <c r="T58" s="5">
        <v>0.08</v>
      </c>
      <c r="U58" s="5">
        <v>0.11</v>
      </c>
      <c r="V58" t="s">
        <v>134</v>
      </c>
      <c r="W58" s="5">
        <v>8.7345938235519061E-3</v>
      </c>
      <c r="Y58" s="94">
        <v>150000</v>
      </c>
      <c r="Z58" s="94">
        <v>0</v>
      </c>
      <c r="AA58" s="94">
        <f t="shared" si="18"/>
        <v>150000</v>
      </c>
      <c r="AB58" s="94"/>
      <c r="AC58" s="94">
        <f t="shared" si="19"/>
        <v>150000</v>
      </c>
      <c r="AD58" s="94">
        <v>0</v>
      </c>
      <c r="AE58" s="94">
        <v>0</v>
      </c>
      <c r="AF58" s="94">
        <v>0</v>
      </c>
      <c r="AG58" s="94">
        <f>NPV(W58,AC58:AC65)</f>
        <v>1154174.1620301935</v>
      </c>
      <c r="AH58">
        <f t="shared" si="20"/>
        <v>7</v>
      </c>
      <c r="AI58" s="94">
        <f t="shared" si="21"/>
        <v>0</v>
      </c>
      <c r="AJ58" s="94">
        <f t="shared" si="22"/>
        <v>0</v>
      </c>
      <c r="AK58" s="94">
        <f t="shared" si="23"/>
        <v>0</v>
      </c>
      <c r="AL58" s="94">
        <f t="shared" si="15"/>
        <v>1154174.1620301933</v>
      </c>
      <c r="AM58" s="94">
        <f t="shared" si="24"/>
        <v>10081.242506972125</v>
      </c>
      <c r="AN58" s="94">
        <f t="shared" si="25"/>
        <v>-150000</v>
      </c>
      <c r="AO58" s="94">
        <f t="shared" si="26"/>
        <v>0</v>
      </c>
      <c r="AP58" s="94">
        <f t="shared" si="27"/>
        <v>1014255.4045371653</v>
      </c>
      <c r="AQ58" s="94">
        <v>0</v>
      </c>
      <c r="AR58" s="94">
        <v>0</v>
      </c>
      <c r="AS58" s="94">
        <v>0</v>
      </c>
      <c r="AT58" s="94">
        <f t="shared" si="16"/>
        <v>972832.50398301042</v>
      </c>
      <c r="AU58" s="94">
        <v>0</v>
      </c>
      <c r="AV58" s="94"/>
      <c r="AW58" s="94">
        <f t="shared" si="28"/>
        <v>0</v>
      </c>
      <c r="AX58" s="94">
        <f t="shared" si="17"/>
        <v>0</v>
      </c>
      <c r="AY58">
        <f t="shared" si="29"/>
        <v>7</v>
      </c>
      <c r="AZ58" s="94">
        <f t="shared" si="30"/>
        <v>121604.0629978763</v>
      </c>
      <c r="BA58" s="94">
        <f t="shared" si="31"/>
        <v>851228.4409851341</v>
      </c>
      <c r="BB58" t="s">
        <v>9</v>
      </c>
      <c r="BC58" t="s">
        <v>56</v>
      </c>
      <c r="BD58" s="9">
        <v>45810.626458333332</v>
      </c>
    </row>
    <row r="59" spans="1:56" x14ac:dyDescent="0.25">
      <c r="A59" s="11"/>
      <c r="B59" s="22" t="s">
        <v>131</v>
      </c>
      <c r="C59" s="114" t="s">
        <v>135</v>
      </c>
      <c r="E59" s="122">
        <v>42</v>
      </c>
      <c r="F59" s="3">
        <v>47299</v>
      </c>
      <c r="G59" s="3">
        <v>45992</v>
      </c>
      <c r="H59" s="3">
        <v>47483</v>
      </c>
      <c r="I59" s="3" t="s">
        <v>61</v>
      </c>
      <c r="J59" s="3">
        <v>47483</v>
      </c>
      <c r="K59" s="3" t="s">
        <v>61</v>
      </c>
      <c r="L59" s="3">
        <v>47483</v>
      </c>
      <c r="M59" s="3">
        <v>47483</v>
      </c>
      <c r="N59" s="122">
        <v>48</v>
      </c>
      <c r="O59" s="3" t="s">
        <v>61</v>
      </c>
      <c r="P59" s="122">
        <v>5</v>
      </c>
      <c r="Q59" s="3">
        <v>47818</v>
      </c>
      <c r="R59" s="3">
        <v>47483</v>
      </c>
      <c r="S59" s="122">
        <v>48</v>
      </c>
      <c r="T59" s="5">
        <v>0.08</v>
      </c>
      <c r="U59" s="5">
        <v>0.11</v>
      </c>
      <c r="V59" t="s">
        <v>134</v>
      </c>
      <c r="W59" s="5">
        <v>8.7345938235519061E-3</v>
      </c>
      <c r="Y59" s="94">
        <v>150000</v>
      </c>
      <c r="Z59" s="94">
        <v>0</v>
      </c>
      <c r="AA59" s="94">
        <f t="shared" si="18"/>
        <v>150000</v>
      </c>
      <c r="AB59" s="94"/>
      <c r="AC59" s="94">
        <f t="shared" si="19"/>
        <v>150000</v>
      </c>
      <c r="AD59" s="94">
        <v>0</v>
      </c>
      <c r="AE59" s="94">
        <v>0</v>
      </c>
      <c r="AF59" s="94">
        <v>0</v>
      </c>
      <c r="AG59" s="94">
        <f>NPV(W59,AC59:AC65)</f>
        <v>1014255.4045371657</v>
      </c>
      <c r="AH59">
        <f t="shared" si="20"/>
        <v>6</v>
      </c>
      <c r="AI59" s="94">
        <f t="shared" si="21"/>
        <v>0</v>
      </c>
      <c r="AJ59" s="94">
        <f t="shared" si="22"/>
        <v>0</v>
      </c>
      <c r="AK59" s="94">
        <f t="shared" si="23"/>
        <v>0</v>
      </c>
      <c r="AL59" s="94">
        <f t="shared" si="15"/>
        <v>1014255.4045371653</v>
      </c>
      <c r="AM59" s="94">
        <f t="shared" si="24"/>
        <v>8859.1089919744663</v>
      </c>
      <c r="AN59" s="94">
        <f t="shared" si="25"/>
        <v>-150000</v>
      </c>
      <c r="AO59" s="94">
        <f t="shared" si="26"/>
        <v>0</v>
      </c>
      <c r="AP59" s="94">
        <f t="shared" si="27"/>
        <v>873114.5135291398</v>
      </c>
      <c r="AQ59" s="94">
        <v>0</v>
      </c>
      <c r="AR59" s="94">
        <v>0</v>
      </c>
      <c r="AS59" s="94">
        <v>0</v>
      </c>
      <c r="AT59" s="94">
        <f t="shared" si="16"/>
        <v>851228.4409851341</v>
      </c>
      <c r="AU59" s="94">
        <v>0</v>
      </c>
      <c r="AV59" s="94"/>
      <c r="AW59" s="94">
        <f t="shared" si="28"/>
        <v>0</v>
      </c>
      <c r="AX59" s="94">
        <f t="shared" si="17"/>
        <v>0</v>
      </c>
      <c r="AY59">
        <f t="shared" si="29"/>
        <v>6</v>
      </c>
      <c r="AZ59" s="94">
        <f t="shared" si="30"/>
        <v>121604.0629978763</v>
      </c>
      <c r="BA59" s="94">
        <f t="shared" si="31"/>
        <v>729624.37798725779</v>
      </c>
      <c r="BB59" t="s">
        <v>9</v>
      </c>
      <c r="BC59" t="s">
        <v>56</v>
      </c>
      <c r="BD59" s="9">
        <v>45810.626458333332</v>
      </c>
    </row>
    <row r="60" spans="1:56" x14ac:dyDescent="0.25">
      <c r="A60" s="11"/>
      <c r="B60" s="22" t="s">
        <v>136</v>
      </c>
      <c r="C60" s="116" t="s">
        <v>137</v>
      </c>
      <c r="E60" s="122">
        <v>43</v>
      </c>
      <c r="F60" s="3">
        <v>47330</v>
      </c>
      <c r="G60" s="3">
        <v>45992</v>
      </c>
      <c r="H60" s="3">
        <v>47483</v>
      </c>
      <c r="I60" s="3" t="s">
        <v>61</v>
      </c>
      <c r="J60" s="3">
        <v>47483</v>
      </c>
      <c r="K60" s="3" t="s">
        <v>61</v>
      </c>
      <c r="L60" s="3">
        <v>47483</v>
      </c>
      <c r="M60" s="3">
        <v>47483</v>
      </c>
      <c r="N60" s="122">
        <v>48</v>
      </c>
      <c r="O60" s="3" t="s">
        <v>61</v>
      </c>
      <c r="P60" s="122">
        <v>5</v>
      </c>
      <c r="Q60" s="3">
        <v>47818</v>
      </c>
      <c r="R60" s="3">
        <v>47483</v>
      </c>
      <c r="S60" s="122">
        <v>48</v>
      </c>
      <c r="T60" s="5">
        <v>0.08</v>
      </c>
      <c r="U60" s="5">
        <v>0.11</v>
      </c>
      <c r="V60" t="s">
        <v>134</v>
      </c>
      <c r="W60" s="5">
        <v>8.7345938235519061E-3</v>
      </c>
      <c r="Y60" s="94">
        <v>150000</v>
      </c>
      <c r="Z60" s="94">
        <v>0</v>
      </c>
      <c r="AA60" s="94">
        <f t="shared" si="18"/>
        <v>150000</v>
      </c>
      <c r="AB60" s="94"/>
      <c r="AC60" s="94">
        <f t="shared" si="19"/>
        <v>150000</v>
      </c>
      <c r="AD60" s="94">
        <v>0</v>
      </c>
      <c r="AE60" s="94">
        <v>0</v>
      </c>
      <c r="AF60" s="94">
        <v>0</v>
      </c>
      <c r="AG60" s="94">
        <f>NPV(W60,AC60:AC65)</f>
        <v>873114.51352914015</v>
      </c>
      <c r="AH60">
        <f t="shared" si="20"/>
        <v>5</v>
      </c>
      <c r="AI60" s="94">
        <f t="shared" si="21"/>
        <v>0</v>
      </c>
      <c r="AJ60" s="94">
        <f t="shared" si="22"/>
        <v>0</v>
      </c>
      <c r="AK60" s="94">
        <f t="shared" si="23"/>
        <v>0</v>
      </c>
      <c r="AL60" s="94">
        <f t="shared" si="15"/>
        <v>873114.5135291398</v>
      </c>
      <c r="AM60" s="94">
        <f t="shared" si="24"/>
        <v>7626.3006371251549</v>
      </c>
      <c r="AN60" s="94">
        <f t="shared" si="25"/>
        <v>-150000</v>
      </c>
      <c r="AO60" s="94">
        <f t="shared" si="26"/>
        <v>0</v>
      </c>
      <c r="AP60" s="94">
        <f t="shared" si="27"/>
        <v>730740.81416626496</v>
      </c>
      <c r="AQ60" s="94">
        <v>0</v>
      </c>
      <c r="AR60" s="94">
        <v>0</v>
      </c>
      <c r="AS60" s="94">
        <v>0</v>
      </c>
      <c r="AT60" s="94">
        <f t="shared" si="16"/>
        <v>729624.37798725779</v>
      </c>
      <c r="AU60" s="94">
        <v>0</v>
      </c>
      <c r="AV60" s="94"/>
      <c r="AW60" s="94">
        <f t="shared" si="28"/>
        <v>0</v>
      </c>
      <c r="AX60" s="94">
        <f t="shared" si="17"/>
        <v>0</v>
      </c>
      <c r="AY60">
        <f t="shared" si="29"/>
        <v>5</v>
      </c>
      <c r="AZ60" s="94">
        <f t="shared" si="30"/>
        <v>121604.0629978763</v>
      </c>
      <c r="BA60" s="94">
        <f t="shared" si="31"/>
        <v>608020.31498938147</v>
      </c>
      <c r="BB60" t="s">
        <v>9</v>
      </c>
      <c r="BC60" t="s">
        <v>56</v>
      </c>
      <c r="BD60" s="9">
        <v>45810.626458333332</v>
      </c>
    </row>
    <row r="61" spans="1:56" x14ac:dyDescent="0.25">
      <c r="A61" s="11"/>
      <c r="B61" s="16" t="s">
        <v>132</v>
      </c>
      <c r="C61" s="36">
        <f>+IF(C59="Annual",IF(C60="Simple",C58/12,(1+C58)^(1/12)-1),C58)</f>
        <v>8.7345938235519061E-3</v>
      </c>
      <c r="E61" s="124">
        <v>44</v>
      </c>
      <c r="F61" s="3">
        <v>47361</v>
      </c>
      <c r="G61" s="3">
        <v>45992</v>
      </c>
      <c r="H61" s="3">
        <v>47483</v>
      </c>
      <c r="I61" s="3" t="s">
        <v>61</v>
      </c>
      <c r="J61" s="3">
        <v>47483</v>
      </c>
      <c r="K61" s="3" t="s">
        <v>61</v>
      </c>
      <c r="L61" s="3">
        <v>47483</v>
      </c>
      <c r="M61" s="3">
        <v>47483</v>
      </c>
      <c r="N61" s="122">
        <v>48</v>
      </c>
      <c r="O61" s="3" t="s">
        <v>61</v>
      </c>
      <c r="P61" s="122">
        <v>5</v>
      </c>
      <c r="Q61" s="3">
        <v>47818</v>
      </c>
      <c r="R61" s="3">
        <v>47483</v>
      </c>
      <c r="S61" s="122">
        <v>48</v>
      </c>
      <c r="T61" s="5">
        <v>0.08</v>
      </c>
      <c r="U61" s="5">
        <v>0.11</v>
      </c>
      <c r="V61" t="s">
        <v>134</v>
      </c>
      <c r="W61" s="5">
        <v>8.7345938235519061E-3</v>
      </c>
      <c r="Y61" s="94">
        <v>150000</v>
      </c>
      <c r="Z61" s="94">
        <v>0</v>
      </c>
      <c r="AA61" s="94">
        <f t="shared" si="18"/>
        <v>150000</v>
      </c>
      <c r="AB61" s="94"/>
      <c r="AC61" s="94">
        <f t="shared" si="19"/>
        <v>150000</v>
      </c>
      <c r="AD61" s="94">
        <v>0</v>
      </c>
      <c r="AE61" s="94">
        <v>0</v>
      </c>
      <c r="AF61" s="94">
        <v>0</v>
      </c>
      <c r="AG61" s="94">
        <f>NPV(W61,AC61:AC65)</f>
        <v>730740.81416626531</v>
      </c>
      <c r="AH61">
        <f t="shared" si="20"/>
        <v>4</v>
      </c>
      <c r="AI61" s="94">
        <f t="shared" si="21"/>
        <v>0</v>
      </c>
      <c r="AJ61" s="94">
        <f t="shared" si="22"/>
        <v>0</v>
      </c>
      <c r="AK61" s="94">
        <f t="shared" si="23"/>
        <v>0</v>
      </c>
      <c r="AL61" s="94">
        <f t="shared" si="15"/>
        <v>730740.81416626496</v>
      </c>
      <c r="AM61" s="94">
        <f t="shared" si="24"/>
        <v>6382.7242020339518</v>
      </c>
      <c r="AN61" s="94">
        <f t="shared" si="25"/>
        <v>-150000</v>
      </c>
      <c r="AO61" s="94">
        <f t="shared" si="26"/>
        <v>0</v>
      </c>
      <c r="AP61" s="94">
        <f t="shared" si="27"/>
        <v>587123.5383682989</v>
      </c>
      <c r="AQ61" s="94">
        <v>0</v>
      </c>
      <c r="AR61" s="94">
        <v>0</v>
      </c>
      <c r="AS61" s="94">
        <v>0</v>
      </c>
      <c r="AT61" s="94">
        <f t="shared" si="16"/>
        <v>608020.31498938147</v>
      </c>
      <c r="AU61" s="94">
        <v>0</v>
      </c>
      <c r="AV61" s="94"/>
      <c r="AW61" s="94">
        <f t="shared" si="28"/>
        <v>0</v>
      </c>
      <c r="AX61" s="94">
        <f t="shared" si="17"/>
        <v>0</v>
      </c>
      <c r="AY61">
        <f t="shared" si="29"/>
        <v>4</v>
      </c>
      <c r="AZ61" s="94">
        <f t="shared" si="30"/>
        <v>121604.06299787629</v>
      </c>
      <c r="BA61" s="94">
        <f t="shared" si="31"/>
        <v>486416.25199150515</v>
      </c>
      <c r="BB61" t="s">
        <v>9</v>
      </c>
      <c r="BC61" t="s">
        <v>56</v>
      </c>
      <c r="BD61" s="9">
        <v>45810.626458333332</v>
      </c>
    </row>
    <row r="62" spans="1:56" x14ac:dyDescent="0.25">
      <c r="A62" s="11"/>
      <c r="B62" s="22"/>
      <c r="C62" s="23"/>
      <c r="E62" s="124">
        <v>45</v>
      </c>
      <c r="F62" s="3">
        <v>47391</v>
      </c>
      <c r="G62" s="3">
        <v>45992</v>
      </c>
      <c r="H62" s="3">
        <v>47483</v>
      </c>
      <c r="I62" s="3" t="s">
        <v>61</v>
      </c>
      <c r="J62" s="3">
        <v>47483</v>
      </c>
      <c r="K62" s="3" t="s">
        <v>61</v>
      </c>
      <c r="L62" s="3">
        <v>47483</v>
      </c>
      <c r="M62" s="3">
        <v>47483</v>
      </c>
      <c r="N62" s="122">
        <v>48</v>
      </c>
      <c r="O62" s="3" t="s">
        <v>61</v>
      </c>
      <c r="P62" s="122">
        <v>5</v>
      </c>
      <c r="Q62" s="3">
        <v>47818</v>
      </c>
      <c r="R62" s="3">
        <v>47483</v>
      </c>
      <c r="S62" s="122">
        <v>48</v>
      </c>
      <c r="T62" s="5">
        <v>0.08</v>
      </c>
      <c r="U62" s="5">
        <v>0.11</v>
      </c>
      <c r="V62" t="s">
        <v>134</v>
      </c>
      <c r="W62" s="5">
        <v>8.7345938235519061E-3</v>
      </c>
      <c r="Y62" s="94">
        <v>150000</v>
      </c>
      <c r="Z62" s="94">
        <v>0</v>
      </c>
      <c r="AA62" s="94">
        <f t="shared" si="18"/>
        <v>150000</v>
      </c>
      <c r="AB62" s="94"/>
      <c r="AC62" s="94">
        <f t="shared" si="19"/>
        <v>150000</v>
      </c>
      <c r="AD62" s="94">
        <v>0</v>
      </c>
      <c r="AE62" s="94">
        <v>0</v>
      </c>
      <c r="AF62" s="94">
        <v>0</v>
      </c>
      <c r="AG62" s="94">
        <f>NPV(W62,AC62:AC65)</f>
        <v>587123.53836829925</v>
      </c>
      <c r="AH62">
        <f t="shared" si="20"/>
        <v>3</v>
      </c>
      <c r="AI62" s="94">
        <f t="shared" si="21"/>
        <v>0</v>
      </c>
      <c r="AJ62" s="94">
        <f t="shared" si="22"/>
        <v>0</v>
      </c>
      <c r="AK62" s="94">
        <f t="shared" si="23"/>
        <v>0</v>
      </c>
      <c r="AL62" s="94">
        <f t="shared" si="15"/>
        <v>587123.5383682989</v>
      </c>
      <c r="AM62" s="94">
        <f t="shared" si="24"/>
        <v>5128.2856318936874</v>
      </c>
      <c r="AN62" s="94">
        <f t="shared" si="25"/>
        <v>-150000</v>
      </c>
      <c r="AO62" s="94">
        <f t="shared" si="26"/>
        <v>0</v>
      </c>
      <c r="AP62" s="94">
        <f t="shared" si="27"/>
        <v>442251.82400019257</v>
      </c>
      <c r="AQ62" s="94">
        <v>0</v>
      </c>
      <c r="AR62" s="94">
        <v>0</v>
      </c>
      <c r="AS62" s="94">
        <v>0</v>
      </c>
      <c r="AT62" s="94">
        <f t="shared" si="16"/>
        <v>486416.25199150515</v>
      </c>
      <c r="AU62" s="94">
        <v>0</v>
      </c>
      <c r="AV62" s="94"/>
      <c r="AW62" s="94">
        <f t="shared" si="28"/>
        <v>0</v>
      </c>
      <c r="AX62" s="94">
        <f t="shared" si="17"/>
        <v>0</v>
      </c>
      <c r="AY62">
        <f t="shared" si="29"/>
        <v>3</v>
      </c>
      <c r="AZ62" s="94">
        <f t="shared" si="30"/>
        <v>121604.06299787629</v>
      </c>
      <c r="BA62" s="94">
        <f t="shared" si="31"/>
        <v>364812.18899362884</v>
      </c>
      <c r="BB62" t="s">
        <v>9</v>
      </c>
      <c r="BC62" t="s">
        <v>56</v>
      </c>
      <c r="BD62" s="9">
        <v>45810.626458333332</v>
      </c>
    </row>
    <row r="63" spans="1:56" x14ac:dyDescent="0.25">
      <c r="A63" s="11"/>
      <c r="B63" s="22" t="s">
        <v>97</v>
      </c>
      <c r="C63" s="77">
        <v>0</v>
      </c>
      <c r="E63" s="122">
        <v>46</v>
      </c>
      <c r="F63" s="3">
        <v>47422</v>
      </c>
      <c r="G63" s="3">
        <v>45992</v>
      </c>
      <c r="H63" s="3">
        <v>47483</v>
      </c>
      <c r="I63" s="3" t="s">
        <v>61</v>
      </c>
      <c r="J63" s="3">
        <v>47483</v>
      </c>
      <c r="K63" s="3" t="s">
        <v>61</v>
      </c>
      <c r="L63" s="3">
        <v>47483</v>
      </c>
      <c r="M63" s="3">
        <v>47483</v>
      </c>
      <c r="N63" s="122">
        <v>48</v>
      </c>
      <c r="O63" s="3" t="s">
        <v>61</v>
      </c>
      <c r="P63" s="122">
        <v>5</v>
      </c>
      <c r="Q63" s="3">
        <v>47818</v>
      </c>
      <c r="R63" s="3">
        <v>47483</v>
      </c>
      <c r="S63" s="122">
        <v>48</v>
      </c>
      <c r="T63" s="5">
        <v>0.08</v>
      </c>
      <c r="U63" s="5">
        <v>0.11</v>
      </c>
      <c r="V63" t="s">
        <v>134</v>
      </c>
      <c r="W63" s="5">
        <v>8.7345938235519061E-3</v>
      </c>
      <c r="Y63" s="94">
        <v>150000</v>
      </c>
      <c r="Z63" s="94">
        <v>0</v>
      </c>
      <c r="AA63" s="94">
        <f t="shared" si="18"/>
        <v>150000</v>
      </c>
      <c r="AB63" s="94"/>
      <c r="AC63" s="94">
        <f t="shared" si="19"/>
        <v>150000</v>
      </c>
      <c r="AD63" s="94">
        <v>0</v>
      </c>
      <c r="AE63" s="94">
        <v>0</v>
      </c>
      <c r="AF63" s="94">
        <v>0</v>
      </c>
      <c r="AG63" s="94">
        <f>NPV(W63,AC63:AC65)</f>
        <v>442251.82400019292</v>
      </c>
      <c r="AH63">
        <f t="shared" si="20"/>
        <v>2</v>
      </c>
      <c r="AI63" s="94">
        <f t="shared" si="21"/>
        <v>0</v>
      </c>
      <c r="AJ63" s="94">
        <f t="shared" si="22"/>
        <v>0</v>
      </c>
      <c r="AK63" s="94">
        <f t="shared" si="23"/>
        <v>0</v>
      </c>
      <c r="AL63" s="94">
        <f t="shared" si="15"/>
        <v>442251.82400019257</v>
      </c>
      <c r="AM63" s="94">
        <f t="shared" si="24"/>
        <v>3862.8900503666496</v>
      </c>
      <c r="AN63" s="94">
        <f t="shared" si="25"/>
        <v>-150000</v>
      </c>
      <c r="AO63" s="94">
        <f t="shared" si="26"/>
        <v>0</v>
      </c>
      <c r="AP63" s="94">
        <f t="shared" si="27"/>
        <v>296114.71405055921</v>
      </c>
      <c r="AQ63" s="94">
        <v>0</v>
      </c>
      <c r="AR63" s="94">
        <v>0</v>
      </c>
      <c r="AS63" s="94">
        <v>0</v>
      </c>
      <c r="AT63" s="94">
        <f t="shared" si="16"/>
        <v>364812.18899362884</v>
      </c>
      <c r="AU63" s="94">
        <v>0</v>
      </c>
      <c r="AV63" s="94"/>
      <c r="AW63" s="94">
        <f t="shared" si="28"/>
        <v>0</v>
      </c>
      <c r="AX63" s="94">
        <f t="shared" si="17"/>
        <v>0</v>
      </c>
      <c r="AY63">
        <f t="shared" si="29"/>
        <v>2</v>
      </c>
      <c r="AZ63" s="94">
        <f t="shared" si="30"/>
        <v>121604.06299787627</v>
      </c>
      <c r="BA63" s="94">
        <f t="shared" si="31"/>
        <v>243208.12599575258</v>
      </c>
      <c r="BB63" t="s">
        <v>9</v>
      </c>
      <c r="BC63" t="s">
        <v>56</v>
      </c>
      <c r="BD63" s="9">
        <v>45810.626458333332</v>
      </c>
    </row>
    <row r="64" spans="1:56" x14ac:dyDescent="0.25">
      <c r="A64" s="11"/>
      <c r="B64" s="22" t="s">
        <v>104</v>
      </c>
      <c r="C64" s="37"/>
      <c r="E64" s="122">
        <v>47</v>
      </c>
      <c r="F64" s="3">
        <v>47452</v>
      </c>
      <c r="G64" s="3">
        <v>45992</v>
      </c>
      <c r="H64" s="3">
        <v>47483</v>
      </c>
      <c r="I64" s="3" t="s">
        <v>61</v>
      </c>
      <c r="J64" s="3">
        <v>47483</v>
      </c>
      <c r="K64" s="3" t="s">
        <v>61</v>
      </c>
      <c r="L64" s="3">
        <v>47483</v>
      </c>
      <c r="M64" s="3">
        <v>47483</v>
      </c>
      <c r="N64" s="122">
        <v>48</v>
      </c>
      <c r="O64" s="3" t="s">
        <v>61</v>
      </c>
      <c r="P64" s="122">
        <v>5</v>
      </c>
      <c r="Q64" s="3">
        <v>47818</v>
      </c>
      <c r="R64" s="3">
        <v>47483</v>
      </c>
      <c r="S64" s="122">
        <v>48</v>
      </c>
      <c r="T64" s="5">
        <v>0.08</v>
      </c>
      <c r="U64" s="5">
        <v>0.11</v>
      </c>
      <c r="V64" t="s">
        <v>134</v>
      </c>
      <c r="W64" s="5">
        <v>8.7345938235519061E-3</v>
      </c>
      <c r="Y64" s="94">
        <v>150000</v>
      </c>
      <c r="Z64" s="94">
        <v>0</v>
      </c>
      <c r="AA64" s="94">
        <f t="shared" si="18"/>
        <v>150000</v>
      </c>
      <c r="AB64" s="94"/>
      <c r="AC64" s="94">
        <f t="shared" si="19"/>
        <v>150000</v>
      </c>
      <c r="AD64" s="94">
        <v>0</v>
      </c>
      <c r="AE64" s="94">
        <v>0</v>
      </c>
      <c r="AF64" s="94">
        <v>0</v>
      </c>
      <c r="AG64" s="94">
        <f>NPV(W64,AC64:AC65)</f>
        <v>296114.7140505595</v>
      </c>
      <c r="AH64">
        <f t="shared" si="20"/>
        <v>1</v>
      </c>
      <c r="AI64" s="94">
        <f t="shared" si="21"/>
        <v>0</v>
      </c>
      <c r="AJ64" s="94">
        <f t="shared" si="22"/>
        <v>0</v>
      </c>
      <c r="AK64" s="94">
        <f t="shared" si="23"/>
        <v>0</v>
      </c>
      <c r="AL64" s="94">
        <f t="shared" si="15"/>
        <v>296114.71405055921</v>
      </c>
      <c r="AM64" s="94">
        <f t="shared" si="24"/>
        <v>2586.4417524088558</v>
      </c>
      <c r="AN64" s="94">
        <f t="shared" si="25"/>
        <v>-150000</v>
      </c>
      <c r="AO64" s="94">
        <f t="shared" si="26"/>
        <v>0</v>
      </c>
      <c r="AP64" s="94">
        <f t="shared" si="27"/>
        <v>148701.15580296807</v>
      </c>
      <c r="AQ64" s="94">
        <v>0</v>
      </c>
      <c r="AR64" s="94">
        <v>0</v>
      </c>
      <c r="AS64" s="94">
        <v>0</v>
      </c>
      <c r="AT64" s="94">
        <f t="shared" si="16"/>
        <v>243208.12599575258</v>
      </c>
      <c r="AU64" s="94">
        <v>0</v>
      </c>
      <c r="AV64" s="94"/>
      <c r="AW64" s="94">
        <f t="shared" si="28"/>
        <v>0</v>
      </c>
      <c r="AX64" s="94">
        <f t="shared" si="17"/>
        <v>0</v>
      </c>
      <c r="AY64">
        <f t="shared" si="29"/>
        <v>1</v>
      </c>
      <c r="AZ64" s="94">
        <f t="shared" si="30"/>
        <v>121604.06299787629</v>
      </c>
      <c r="BA64" s="94">
        <f t="shared" si="31"/>
        <v>121604.06299787629</v>
      </c>
      <c r="BB64" t="s">
        <v>9</v>
      </c>
      <c r="BC64" t="s">
        <v>56</v>
      </c>
      <c r="BD64" s="9">
        <v>45810.626458333332</v>
      </c>
    </row>
    <row r="65" spans="1:56" x14ac:dyDescent="0.25">
      <c r="A65" s="11"/>
      <c r="B65" s="22" t="s">
        <v>105</v>
      </c>
      <c r="C65" s="37"/>
      <c r="E65" s="122">
        <v>48</v>
      </c>
      <c r="F65" s="3">
        <v>47483</v>
      </c>
      <c r="G65" s="3">
        <v>45992</v>
      </c>
      <c r="H65" s="3">
        <v>47483</v>
      </c>
      <c r="I65" s="3" t="s">
        <v>61</v>
      </c>
      <c r="J65" s="3">
        <v>47483</v>
      </c>
      <c r="K65" s="3" t="s">
        <v>61</v>
      </c>
      <c r="L65" s="3">
        <v>47483</v>
      </c>
      <c r="M65" s="3">
        <v>47483</v>
      </c>
      <c r="N65" s="122">
        <v>48</v>
      </c>
      <c r="O65" s="3" t="s">
        <v>61</v>
      </c>
      <c r="P65" s="122">
        <v>5</v>
      </c>
      <c r="Q65" s="3">
        <v>47818</v>
      </c>
      <c r="R65" s="3">
        <v>47483</v>
      </c>
      <c r="S65" s="122">
        <v>48</v>
      </c>
      <c r="T65" s="5">
        <v>0.08</v>
      </c>
      <c r="U65" s="5">
        <v>0.11</v>
      </c>
      <c r="V65" t="s">
        <v>134</v>
      </c>
      <c r="W65" s="5">
        <v>8.7345938235519061E-3</v>
      </c>
      <c r="Y65" s="94">
        <v>150000</v>
      </c>
      <c r="Z65" s="94">
        <v>0</v>
      </c>
      <c r="AA65" s="94">
        <f t="shared" si="18"/>
        <v>150000</v>
      </c>
      <c r="AB65" s="94"/>
      <c r="AC65" s="94">
        <f t="shared" si="19"/>
        <v>150000</v>
      </c>
      <c r="AD65" s="94">
        <v>0</v>
      </c>
      <c r="AE65" s="94">
        <v>0</v>
      </c>
      <c r="AF65" s="94">
        <v>0</v>
      </c>
      <c r="AG65" s="94">
        <f>NPV(W65,AC65)</f>
        <v>148701.15580296837</v>
      </c>
      <c r="AH65">
        <f t="shared" si="20"/>
        <v>0</v>
      </c>
      <c r="AI65" s="94">
        <f t="shared" si="21"/>
        <v>0</v>
      </c>
      <c r="AJ65" s="94">
        <f t="shared" si="22"/>
        <v>0</v>
      </c>
      <c r="AK65" s="94">
        <f t="shared" si="23"/>
        <v>0</v>
      </c>
      <c r="AL65" s="94">
        <f t="shared" si="15"/>
        <v>148701.15580296807</v>
      </c>
      <c r="AM65" s="94">
        <f t="shared" si="24"/>
        <v>1298.8441970316371</v>
      </c>
      <c r="AN65" s="94">
        <f t="shared" si="25"/>
        <v>-150000</v>
      </c>
      <c r="AO65" s="94">
        <f t="shared" si="26"/>
        <v>2.9103830456733704E-10</v>
      </c>
      <c r="AP65" s="94">
        <f t="shared" si="27"/>
        <v>0</v>
      </c>
      <c r="AQ65" s="94">
        <v>0</v>
      </c>
      <c r="AR65" s="94">
        <v>0</v>
      </c>
      <c r="AS65" s="94">
        <v>0</v>
      </c>
      <c r="AT65" s="94">
        <f t="shared" si="16"/>
        <v>121604.06299787629</v>
      </c>
      <c r="AU65" s="94">
        <v>0</v>
      </c>
      <c r="AV65" s="94"/>
      <c r="AW65" s="94">
        <f t="shared" si="28"/>
        <v>2.9103830456733704E-10</v>
      </c>
      <c r="AX65" s="94">
        <f t="shared" si="17"/>
        <v>0</v>
      </c>
      <c r="AY65">
        <f t="shared" si="29"/>
        <v>0</v>
      </c>
      <c r="AZ65" s="94">
        <f t="shared" si="30"/>
        <v>121604.06299787658</v>
      </c>
      <c r="BA65" s="94">
        <f t="shared" si="31"/>
        <v>0</v>
      </c>
      <c r="BB65" t="s">
        <v>9</v>
      </c>
      <c r="BC65" t="s">
        <v>56</v>
      </c>
      <c r="BD65" s="9">
        <v>45810.626458333332</v>
      </c>
    </row>
    <row r="66" spans="1:56" x14ac:dyDescent="0.25">
      <c r="A66" s="11"/>
      <c r="B66" s="22"/>
      <c r="C66" s="23"/>
    </row>
    <row r="67" spans="1:56" x14ac:dyDescent="0.25">
      <c r="A67" s="11"/>
      <c r="B67" s="27" t="s">
        <v>22</v>
      </c>
      <c r="C67" s="28"/>
    </row>
    <row r="68" spans="1:56" x14ac:dyDescent="0.25">
      <c r="A68" s="11"/>
      <c r="B68" s="22" t="s">
        <v>106</v>
      </c>
      <c r="C68" s="37">
        <v>0</v>
      </c>
    </row>
    <row r="69" spans="1:56" x14ac:dyDescent="0.25">
      <c r="A69" s="11"/>
      <c r="B69" s="22" t="s">
        <v>107</v>
      </c>
      <c r="C69" s="37"/>
    </row>
    <row r="70" spans="1:56" x14ac:dyDescent="0.25">
      <c r="A70" s="11"/>
      <c r="B70" s="22" t="s">
        <v>108</v>
      </c>
      <c r="C70" s="37"/>
    </row>
    <row r="71" spans="1:56" ht="15.75" thickBot="1" x14ac:dyDescent="0.3">
      <c r="B71" s="19" t="s">
        <v>98</v>
      </c>
      <c r="C71" s="78">
        <f>+residualValueGuarantees</f>
        <v>0</v>
      </c>
    </row>
    <row r="72" spans="1:56" ht="16.5" thickTop="1" thickBot="1" x14ac:dyDescent="0.3"/>
    <row r="73" spans="1:56" ht="14.45" customHeight="1" thickTop="1" x14ac:dyDescent="0.25">
      <c r="B73" s="82"/>
      <c r="C73" s="14"/>
    </row>
    <row r="74" spans="1:56" ht="14.45" customHeight="1" x14ac:dyDescent="0.25">
      <c r="B74" s="84"/>
      <c r="C74" s="23"/>
    </row>
    <row r="75" spans="1:56" x14ac:dyDescent="0.25">
      <c r="B75" s="22"/>
      <c r="C75" s="23"/>
    </row>
    <row r="76" spans="1:56" ht="15.75" thickBot="1" x14ac:dyDescent="0.3">
      <c r="B76" s="19"/>
      <c r="C76" s="83"/>
    </row>
    <row r="77" spans="1:56" ht="16.5" thickTop="1" thickBot="1" x14ac:dyDescent="0.3"/>
    <row r="78" spans="1:56" ht="21.75" thickTop="1" x14ac:dyDescent="0.35">
      <c r="B78" s="12" t="s">
        <v>144</v>
      </c>
      <c r="C78" s="14"/>
    </row>
    <row r="79" spans="1:56" x14ac:dyDescent="0.25">
      <c r="B79" s="22"/>
      <c r="C79" s="23"/>
    </row>
    <row r="80" spans="1:56" x14ac:dyDescent="0.25">
      <c r="B80" s="22" t="s">
        <v>141</v>
      </c>
      <c r="C80" s="25" t="s">
        <v>140</v>
      </c>
    </row>
    <row r="81" spans="2:3" x14ac:dyDescent="0.25">
      <c r="B81" s="22"/>
      <c r="C81" s="23"/>
    </row>
    <row r="82" spans="2:3" x14ac:dyDescent="0.25">
      <c r="B82" s="86" t="str">
        <f>"Note: (1) Variable payments should be added as a second step after running section 1"</f>
        <v>Note: (1) Variable payments should be added as a second step after running section 1</v>
      </c>
      <c r="C82" s="23"/>
    </row>
    <row r="83" spans="2:3" x14ac:dyDescent="0.25">
      <c r="B83" s="86" t="str">
        <f>"(i.e. when the table in section 2 is updated)."</f>
        <v>(i.e. when the table in section 2 is updated).</v>
      </c>
      <c r="C83" s="23"/>
    </row>
    <row r="84" spans="2:3" x14ac:dyDescent="0.25">
      <c r="B84" s="86" t="str">
        <f>"(2) Variable payments are dependent on the assessment type selected in cell "&amp;ADDRESS(ROW(A1), COLUMN(A1), 4)</f>
        <v>(2) Variable payments are dependent on the assessment type selected in cell A1</v>
      </c>
      <c r="C84" s="23"/>
    </row>
    <row r="85" spans="2:3" x14ac:dyDescent="0.25">
      <c r="B85" s="86" t="s">
        <v>155</v>
      </c>
      <c r="C85" s="23"/>
    </row>
    <row r="86" spans="2:3" x14ac:dyDescent="0.25">
      <c r="B86" s="22"/>
      <c r="C86" s="23"/>
    </row>
    <row r="87" spans="2:3" x14ac:dyDescent="0.25">
      <c r="B87" s="27" t="s">
        <v>142</v>
      </c>
      <c r="C87" s="28"/>
    </row>
    <row r="88" spans="2:3" x14ac:dyDescent="0.25">
      <c r="B88" s="22" t="s">
        <v>145</v>
      </c>
      <c r="C88" s="25" t="s">
        <v>139</v>
      </c>
    </row>
    <row r="89" spans="2:3" x14ac:dyDescent="0.25">
      <c r="B89" s="118" t="s">
        <v>146</v>
      </c>
      <c r="C89" s="33">
        <v>120000</v>
      </c>
    </row>
    <row r="90" spans="2:3" x14ac:dyDescent="0.25">
      <c r="B90" s="22" t="s">
        <v>147</v>
      </c>
      <c r="C90" s="26">
        <v>44592</v>
      </c>
    </row>
    <row r="91" spans="2:3" x14ac:dyDescent="0.25">
      <c r="B91" s="22"/>
      <c r="C91" s="23"/>
    </row>
    <row r="92" spans="2:3" x14ac:dyDescent="0.25">
      <c r="B92" s="22" t="s">
        <v>148</v>
      </c>
      <c r="C92" s="25" t="s">
        <v>139</v>
      </c>
    </row>
    <row r="93" spans="2:3" x14ac:dyDescent="0.25">
      <c r="B93" s="22" t="s">
        <v>149</v>
      </c>
      <c r="C93" s="119">
        <v>4.4999999999999998E-2</v>
      </c>
    </row>
    <row r="94" spans="2:3" x14ac:dyDescent="0.25">
      <c r="B94" s="22" t="s">
        <v>150</v>
      </c>
      <c r="C94" s="26">
        <v>44957</v>
      </c>
    </row>
    <row r="95" spans="2:3" x14ac:dyDescent="0.25">
      <c r="B95" s="22"/>
      <c r="C95" s="23"/>
    </row>
    <row r="96" spans="2:3" x14ac:dyDescent="0.25">
      <c r="B96" s="27" t="s">
        <v>143</v>
      </c>
      <c r="C96" s="28"/>
    </row>
    <row r="97" spans="2:3" x14ac:dyDescent="0.25">
      <c r="B97" s="22" t="s">
        <v>145</v>
      </c>
      <c r="C97" s="25" t="s">
        <v>139</v>
      </c>
    </row>
    <row r="98" spans="2:3" x14ac:dyDescent="0.25">
      <c r="B98" s="118" t="s">
        <v>146</v>
      </c>
      <c r="C98" s="33">
        <v>130228</v>
      </c>
    </row>
    <row r="99" spans="2:3" x14ac:dyDescent="0.25">
      <c r="B99" s="22" t="s">
        <v>147</v>
      </c>
      <c r="C99" s="26">
        <v>44592</v>
      </c>
    </row>
    <row r="100" spans="2:3" x14ac:dyDescent="0.25">
      <c r="B100" s="22" t="s">
        <v>151</v>
      </c>
      <c r="C100" s="120">
        <v>200</v>
      </c>
    </row>
    <row r="101" spans="2:3" x14ac:dyDescent="0.25">
      <c r="B101" s="22"/>
      <c r="C101" s="23"/>
    </row>
    <row r="102" spans="2:3" x14ac:dyDescent="0.25">
      <c r="B102" s="22" t="s">
        <v>152</v>
      </c>
      <c r="C102" s="26">
        <v>44957</v>
      </c>
    </row>
    <row r="103" spans="2:3" ht="15.75" thickBot="1" x14ac:dyDescent="0.3">
      <c r="B103" s="19" t="s">
        <v>153</v>
      </c>
      <c r="C103" s="121">
        <v>120</v>
      </c>
    </row>
    <row r="104" spans="2:3" ht="16.5" thickTop="1" thickBot="1" x14ac:dyDescent="0.3"/>
    <row r="105" spans="2:3" ht="16.5" thickTop="1" x14ac:dyDescent="0.25">
      <c r="B105" s="82"/>
      <c r="C105" s="14"/>
    </row>
    <row r="106" spans="2:3" ht="15.75" x14ac:dyDescent="0.25">
      <c r="B106" s="84"/>
      <c r="C106" s="23"/>
    </row>
    <row r="107" spans="2:3" x14ac:dyDescent="0.25">
      <c r="B107" s="22"/>
      <c r="C107" s="23"/>
    </row>
    <row r="108" spans="2:3" ht="15.75" thickBot="1" x14ac:dyDescent="0.3">
      <c r="B108" s="19"/>
      <c r="C108" s="83"/>
    </row>
    <row r="109" spans="2:3" ht="15.75" thickTop="1" x14ac:dyDescent="0.25"/>
  </sheetData>
  <conditionalFormatting sqref="AK8">
    <cfRule type="cellIs" dxfId="0" priority="1" operator="equal">
      <formula>0</formula>
    </cfRule>
  </conditionalFormatting>
  <dataValidations count="8">
    <dataValidation type="list" allowBlank="1" showInputMessage="1" showErrorMessage="1" sqref="C80">
      <formula1>"No,Rate,Index"</formula1>
    </dataValidation>
    <dataValidation type="list" allowBlank="1" showInputMessage="1" showErrorMessage="1" sqref="C60">
      <formula1>"Simple,12th root"</formula1>
    </dataValidation>
    <dataValidation type="list" allowBlank="1" showInputMessage="1" showErrorMessage="1" sqref="C59">
      <formula1>"Annual,Monthly"</formula1>
    </dataValidation>
    <dataValidation type="list" allowBlank="1" showInputMessage="1" showErrorMessage="1" sqref="C57">
      <formula1>"Implicit (IRIL),Incremental (IBR)"</formula1>
    </dataValidation>
    <dataValidation type="list" allowBlank="1" showInputMessage="1" showErrorMessage="1" sqref="C47 C88 C92 C97">
      <formula1>"Monthly,Quarterly,Semi-annually,Annually"</formula1>
    </dataValidation>
    <dataValidation type="list" allowBlank="1" showInputMessage="1" showErrorMessage="1" sqref="C27 C30 C38 C10">
      <formula1>"Yes,No"</formula1>
    </dataValidation>
    <dataValidation type="date" allowBlank="1" showInputMessage="1" showErrorMessage="1" sqref="C19">
      <formula1>C24</formula1>
      <formula2>C31</formula2>
    </dataValidation>
    <dataValidation type="list" allowBlank="1" showInputMessage="1" showErrorMessage="1" sqref="C18">
      <formula1>"Initial assessment,Reassessment"</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RunAssessment">
                <anchor moveWithCells="1" sizeWithCells="1">
                  <from>
                    <xdr:col>1</xdr:col>
                    <xdr:colOff>2543175</xdr:colOff>
                    <xdr:row>72</xdr:row>
                    <xdr:rowOff>142875</xdr:rowOff>
                  </from>
                  <to>
                    <xdr:col>2</xdr:col>
                    <xdr:colOff>1019175</xdr:colOff>
                    <xdr:row>75</xdr:row>
                    <xdr:rowOff>66675</xdr:rowOff>
                  </to>
                </anchor>
              </controlPr>
            </control>
          </mc:Choice>
        </mc:AlternateContent>
        <mc:AlternateContent xmlns:mc="http://schemas.openxmlformats.org/markup-compatibility/2006">
          <mc:Choice Requires="x14">
            <control shapeId="9218" r:id="rId5" name="Button 2">
              <controlPr defaultSize="0" print="0" autoFill="0" autoPict="0" macro="[0]!GoToSummary">
                <anchor moveWithCells="1" sizeWithCells="1">
                  <from>
                    <xdr:col>2</xdr:col>
                    <xdr:colOff>57150</xdr:colOff>
                    <xdr:row>0</xdr:row>
                    <xdr:rowOff>171450</xdr:rowOff>
                  </from>
                  <to>
                    <xdr:col>3</xdr:col>
                    <xdr:colOff>209550</xdr:colOff>
                    <xdr:row>2</xdr:row>
                    <xdr:rowOff>38100</xdr:rowOff>
                  </to>
                </anchor>
              </controlPr>
            </control>
          </mc:Choice>
        </mc:AlternateContent>
        <mc:AlternateContent xmlns:mc="http://schemas.openxmlformats.org/markup-compatibility/2006">
          <mc:Choice Requires="x14">
            <control shapeId="9219" r:id="rId6" name="Button 3">
              <controlPr defaultSize="0" print="0" autoFill="0" autoPict="0" macro="[0]!SelectVariablePayment">
                <anchor moveWithCells="1" sizeWithCells="1">
                  <from>
                    <xdr:col>1</xdr:col>
                    <xdr:colOff>2695575</xdr:colOff>
                    <xdr:row>104</xdr:row>
                    <xdr:rowOff>133350</xdr:rowOff>
                  </from>
                  <to>
                    <xdr:col>2</xdr:col>
                    <xdr:colOff>1238250</xdr:colOff>
                    <xdr:row>107</xdr:row>
                    <xdr:rowOff>57150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activity xmlns="2f6c1c2e-ac04-4776-a6d5-c3a143760f9d"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kument" ma:contentTypeID="0x010100D7ECB256DF155E4B948184CE8A87FF10" ma:contentTypeVersion="12" ma:contentTypeDescription="Skapa ett nytt dokument." ma:contentTypeScope="" ma:versionID="3abedf99dbf9edfd4f2f36a89ff3bbbd">
  <xsd:schema xmlns:xsd="http://www.w3.org/2001/XMLSchema" xmlns:xs="http://www.w3.org/2001/XMLSchema" xmlns:p="http://schemas.microsoft.com/office/2006/metadata/properties" xmlns:ns3="07305161-b40d-4b32-9500-7a2f60f7a81b" xmlns:ns4="2f6c1c2e-ac04-4776-a6d5-c3a143760f9d" targetNamespace="http://schemas.microsoft.com/office/2006/metadata/properties" ma:root="true" ma:fieldsID="809778afaed854d5ca678cf53b98eaa0" ns3:_="" ns4:_="">
    <xsd:import namespace="07305161-b40d-4b32-9500-7a2f60f7a81b"/>
    <xsd:import namespace="2f6c1c2e-ac04-4776-a6d5-c3a143760f9d"/>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AutoKeyPoints" minOccurs="0"/>
                <xsd:element ref="ns4:MediaServiceKeyPoints" minOccurs="0"/>
                <xsd:element ref="ns4:MediaServiceAutoTags" minOccurs="0"/>
                <xsd:element ref="ns4:MediaServiceGenerationTime" minOccurs="0"/>
                <xsd:element ref="ns4:MediaServiceEventHashCode" minOccurs="0"/>
                <xsd:element ref="ns4:MediaServiceOCR" minOccurs="0"/>
                <xsd:element ref="ns4:_activity"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7305161-b40d-4b32-9500-7a2f60f7a81b" elementFormDefault="qualified">
    <xsd:import namespace="http://schemas.microsoft.com/office/2006/documentManagement/types"/>
    <xsd:import namespace="http://schemas.microsoft.com/office/infopath/2007/PartnerControls"/>
    <xsd:element name="SharedWithUsers" ma:index="8" nillable="true" ma:displayName="Delat med"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Delat med information" ma:internalName="SharedWithDetails" ma:readOnly="true">
      <xsd:simpleType>
        <xsd:restriction base="dms:Note">
          <xsd:maxLength value="255"/>
        </xsd:restriction>
      </xsd:simpleType>
    </xsd:element>
    <xsd:element name="SharingHintHash" ma:index="10" nillable="true" ma:displayName="Delar tips, Hash"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2f6c1c2e-ac04-4776-a6d5-c3a143760f9d"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AutoTags" ma:index="15" nillable="true" ma:displayName="Tags" ma:internalName="MediaServiceAutoTags"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element name="_activity" ma:index="19" nillable="true" ma:displayName="_activity" ma:hidden="true" ma:internalName="_activity">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nehållstyp"/>
        <xsd:element ref="dc:title" minOccurs="0" maxOccurs="1" ma:index="4" ma:displayName="Rubrik"/>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0D852CD-C362-4597-9A0E-A8204CDCD6D6}">
  <ds:schemaRefs>
    <ds:schemaRef ds:uri="2f6c1c2e-ac04-4776-a6d5-c3a143760f9d"/>
    <ds:schemaRef ds:uri="http://schemas.microsoft.com/office/infopath/2007/PartnerControls"/>
    <ds:schemaRef ds:uri="http://purl.org/dc/elements/1.1/"/>
    <ds:schemaRef ds:uri="http://schemas.openxmlformats.org/package/2006/metadata/core-properties"/>
    <ds:schemaRef ds:uri="http://schemas.microsoft.com/office/2006/documentManagement/types"/>
    <ds:schemaRef ds:uri="http://www.w3.org/XML/1998/namespace"/>
    <ds:schemaRef ds:uri="http://schemas.microsoft.com/office/2006/metadata/properties"/>
    <ds:schemaRef ds:uri="07305161-b40d-4b32-9500-7a2f60f7a81b"/>
    <ds:schemaRef ds:uri="http://purl.org/dc/dcmitype/"/>
    <ds:schemaRef ds:uri="http://purl.org/dc/terms/"/>
  </ds:schemaRefs>
</ds:datastoreItem>
</file>

<file path=customXml/itemProps2.xml><?xml version="1.0" encoding="utf-8"?>
<ds:datastoreItem xmlns:ds="http://schemas.openxmlformats.org/officeDocument/2006/customXml" ds:itemID="{307073FE-E2AF-43F7-BE96-5151B5E0DF2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7305161-b40d-4b32-9500-7a2f60f7a81b"/>
    <ds:schemaRef ds:uri="2f6c1c2e-ac04-4776-a6d5-c3a143760f9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691BA50-8AC3-4B55-8AC4-68F93935FA76}">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152</vt:i4>
      </vt:variant>
    </vt:vector>
  </HeadingPairs>
  <TitlesOfParts>
    <vt:vector size="155" baseType="lpstr">
      <vt:lpstr>Summary</vt:lpstr>
      <vt:lpstr>LeaseTemplate</vt:lpstr>
      <vt:lpstr>LeaseTemplate (2)</vt:lpstr>
      <vt:lpstr>'LeaseTemplate (2)'!AssessmentComment</vt:lpstr>
      <vt:lpstr>AssessmentComment</vt:lpstr>
      <vt:lpstr>'LeaseTemplate (2)'!AssessmentType</vt:lpstr>
      <vt:lpstr>AssessmentType</vt:lpstr>
      <vt:lpstr>'LeaseTemplate (2)'!Commencement_Date</vt:lpstr>
      <vt:lpstr>Commencement_Date</vt:lpstr>
      <vt:lpstr>'LeaseTemplate (2)'!ContractualEndingDate</vt:lpstr>
      <vt:lpstr>ContractualEndingDate</vt:lpstr>
      <vt:lpstr>'LeaseTemplate (2)'!costForDismantlingRestoringAsset</vt:lpstr>
      <vt:lpstr>costForDismantlingRestoringAsset</vt:lpstr>
      <vt:lpstr>LeaseTemplate!Depreciation_Months</vt:lpstr>
      <vt:lpstr>'LeaseTemplate (2)'!Depreciation_Months</vt:lpstr>
      <vt:lpstr>'LeaseTemplate (2)'!DepreciationTerm_EndDate</vt:lpstr>
      <vt:lpstr>DepreciationTerm_EndDate</vt:lpstr>
      <vt:lpstr>'LeaseTemplate (2)'!Discount_rate</vt:lpstr>
      <vt:lpstr>Discount_rate</vt:lpstr>
      <vt:lpstr>'LeaseTemplate (2)'!exercisePricePurchaseOption</vt:lpstr>
      <vt:lpstr>exercisePricePurchaseOption</vt:lpstr>
      <vt:lpstr>'LeaseTemplate (2)'!ExtensionOption</vt:lpstr>
      <vt:lpstr>ExtensionOption</vt:lpstr>
      <vt:lpstr>'LeaseTemplate (2)'!ExtensionOption_EndingDate</vt:lpstr>
      <vt:lpstr>ExtensionOption_EndingDate</vt:lpstr>
      <vt:lpstr>'LeaseTemplate (2)'!IndexChange</vt:lpstr>
      <vt:lpstr>IndexChange</vt:lpstr>
      <vt:lpstr>'LeaseTemplate (2)'!IndexChangeMonth</vt:lpstr>
      <vt:lpstr>IndexChangeMonth</vt:lpstr>
      <vt:lpstr>'LeaseTemplate (2)'!IndexFirstMonth</vt:lpstr>
      <vt:lpstr>IndexFirstMonth</vt:lpstr>
      <vt:lpstr>'LeaseTemplate (2)'!IndexPaymentAmount</vt:lpstr>
      <vt:lpstr>IndexPaymentAmount</vt:lpstr>
      <vt:lpstr>'LeaseTemplate (2)'!IndexPaymentFrequency</vt:lpstr>
      <vt:lpstr>IndexPaymentFrequency</vt:lpstr>
      <vt:lpstr>LeaseTemplate!IndexPeriod_0</vt:lpstr>
      <vt:lpstr>'LeaseTemplate (2)'!IndexPeriod_0</vt:lpstr>
      <vt:lpstr>'LeaseTemplate (2)'!IndexStart</vt:lpstr>
      <vt:lpstr>IndexStart</vt:lpstr>
      <vt:lpstr>'LeaseTemplate (2)'!initialDirectCost</vt:lpstr>
      <vt:lpstr>initialDirectCost</vt:lpstr>
      <vt:lpstr>'LeaseTemplate (2)'!Interest_conv_method</vt:lpstr>
      <vt:lpstr>Interest_conv_method</vt:lpstr>
      <vt:lpstr>'LeaseTemplate (2)'!Interest_rate_period</vt:lpstr>
      <vt:lpstr>Interest_rate_period</vt:lpstr>
      <vt:lpstr>LeaseTemplate!Lease_Months</vt:lpstr>
      <vt:lpstr>'LeaseTemplate (2)'!Lease_Months</vt:lpstr>
      <vt:lpstr>'LeaseTemplate (2)'!NonCancellable_EndDate</vt:lpstr>
      <vt:lpstr>NonCancellable_EndDate</vt:lpstr>
      <vt:lpstr>'LeaseTemplate (2)'!NonLeasePayment</vt:lpstr>
      <vt:lpstr>NonLeasePayment</vt:lpstr>
      <vt:lpstr>'LeaseTemplate (2)'!NPV_Payments_Period_0</vt:lpstr>
      <vt:lpstr>NPV_Payments_Period_0</vt:lpstr>
      <vt:lpstr>'LeaseTemplate (2)'!Obj_currency</vt:lpstr>
      <vt:lpstr>Obj_currency</vt:lpstr>
      <vt:lpstr>'LeaseTemplate (2)'!Obj_name</vt:lpstr>
      <vt:lpstr>Obj_name</vt:lpstr>
      <vt:lpstr>'LeaseTemplate (2)'!Obj_type</vt:lpstr>
      <vt:lpstr>Obj_type</vt:lpstr>
      <vt:lpstr>'LeaseTemplate (2)'!PaymentFrequency</vt:lpstr>
      <vt:lpstr>PaymentFrequency</vt:lpstr>
      <vt:lpstr>'LeaseTemplate (2)'!paymentsBeforeCommencement</vt:lpstr>
      <vt:lpstr>paymentsBeforeCommencement</vt:lpstr>
      <vt:lpstr>'LeaseTemplate (2)'!penaltiesTerminating</vt:lpstr>
      <vt:lpstr>penaltiesTerminating</vt:lpstr>
      <vt:lpstr>'LeaseTemplate (2)'!PurchaseOption</vt:lpstr>
      <vt:lpstr>PurchaseOption</vt:lpstr>
      <vt:lpstr>'LeaseTemplate (2)'!Rate_IBR</vt:lpstr>
      <vt:lpstr>Rate_IBR</vt:lpstr>
      <vt:lpstr>'LeaseTemplate (2)'!Rate_IRIL</vt:lpstr>
      <vt:lpstr>Rate_IRIL</vt:lpstr>
      <vt:lpstr>'LeaseTemplate (2)'!RateFirstMonth</vt:lpstr>
      <vt:lpstr>RateFirstMonth</vt:lpstr>
      <vt:lpstr>'LeaseTemplate (2)'!RateFirstMonthIncrease</vt:lpstr>
      <vt:lpstr>RateFirstMonthIncrease</vt:lpstr>
      <vt:lpstr>'LeaseTemplate (2)'!RateIncreaseFrequency</vt:lpstr>
      <vt:lpstr>RateIncreaseFrequency</vt:lpstr>
      <vt:lpstr>'LeaseTemplate (2)'!RateIncreaseRate</vt:lpstr>
      <vt:lpstr>RateIncreaseRate</vt:lpstr>
      <vt:lpstr>'LeaseTemplate (2)'!RatePaymentAmount</vt:lpstr>
      <vt:lpstr>RatePaymentAmount</vt:lpstr>
      <vt:lpstr>'LeaseTemplate (2)'!RatePaymentFrequency</vt:lpstr>
      <vt:lpstr>RatePaymentFrequency</vt:lpstr>
      <vt:lpstr>'LeaseTemplate (2)'!RateSelection</vt:lpstr>
      <vt:lpstr>RateSelection</vt:lpstr>
      <vt:lpstr>'LeaseTemplate (2)'!Reassessment_date</vt:lpstr>
      <vt:lpstr>Reassessment_date</vt:lpstr>
      <vt:lpstr>'LeaseTemplate (2)'!Residual_value</vt:lpstr>
      <vt:lpstr>Residual_value</vt:lpstr>
      <vt:lpstr>'LeaseTemplate (2)'!residualValueGuarantees</vt:lpstr>
      <vt:lpstr>residualValueGuarantees</vt:lpstr>
      <vt:lpstr>'LeaseTemplate (2)'!S_Asset_Carrying_Amount</vt:lpstr>
      <vt:lpstr>S_Asset_Carrying_Amount</vt:lpstr>
      <vt:lpstr>'LeaseTemplate (2)'!S_Comm_Date</vt:lpstr>
      <vt:lpstr>S_Comm_Date</vt:lpstr>
      <vt:lpstr>'LeaseTemplate (2)'!S_Cost_Asset_Added</vt:lpstr>
      <vt:lpstr>S_Cost_Asset_Added</vt:lpstr>
      <vt:lpstr>'LeaseTemplate (2)'!S_Cost_Asset_CB</vt:lpstr>
      <vt:lpstr>S_Cost_Asset_CB</vt:lpstr>
      <vt:lpstr>'LeaseTemplate (2)'!S_Cost_Asset_Impairment</vt:lpstr>
      <vt:lpstr>S_Cost_Asset_Impairment</vt:lpstr>
      <vt:lpstr>'LeaseTemplate (2)'!S_Cost_Asset_Modification</vt:lpstr>
      <vt:lpstr>S_Cost_Asset_Modification</vt:lpstr>
      <vt:lpstr>'LeaseTemplate (2)'!S_Cost_Asset_OB</vt:lpstr>
      <vt:lpstr>S_Cost_Asset_OB</vt:lpstr>
      <vt:lpstr>'LeaseTemplate (2)'!S_Cost_Asset_Termination</vt:lpstr>
      <vt:lpstr>S_Cost_Asset_Termination</vt:lpstr>
      <vt:lpstr>'LeaseTemplate (2)'!S_Depr_CB</vt:lpstr>
      <vt:lpstr>S_Depr_CB</vt:lpstr>
      <vt:lpstr>'LeaseTemplate (2)'!S_Depr_Date</vt:lpstr>
      <vt:lpstr>S_Depr_Date</vt:lpstr>
      <vt:lpstr>'LeaseTemplate (2)'!S_Depr_OB</vt:lpstr>
      <vt:lpstr>S_Depr_OB</vt:lpstr>
      <vt:lpstr>'LeaseTemplate (2)'!S_Depr_Period</vt:lpstr>
      <vt:lpstr>S_Depr_Period</vt:lpstr>
      <vt:lpstr>'LeaseTemplate (2)'!S_Depr_Termination</vt:lpstr>
      <vt:lpstr>S_Depr_Termination</vt:lpstr>
      <vt:lpstr>'LeaseTemplate (2)'!S_Depreciation</vt:lpstr>
      <vt:lpstr>S_Depreciation</vt:lpstr>
      <vt:lpstr>'LeaseTemplate (2)'!S_Include_On_Summary</vt:lpstr>
      <vt:lpstr>S_Include_On_Summary</vt:lpstr>
      <vt:lpstr>'LeaseTemplate (2)'!S_Interest</vt:lpstr>
      <vt:lpstr>S_Interest</vt:lpstr>
      <vt:lpstr>'LeaseTemplate (2)'!S_Lease_Liab_CB</vt:lpstr>
      <vt:lpstr>S_Lease_Liab_CB</vt:lpstr>
      <vt:lpstr>'LeaseTemplate (2)'!S_Lease_Liab_CB_1</vt:lpstr>
      <vt:lpstr>S_Lease_Liab_CB_1</vt:lpstr>
      <vt:lpstr>'LeaseTemplate (2)'!S_Lease_Liab_CB_2_5</vt:lpstr>
      <vt:lpstr>S_Lease_Liab_CB_2_5</vt:lpstr>
      <vt:lpstr>'LeaseTemplate (2)'!S_Lease_Liab_CB_5</vt:lpstr>
      <vt:lpstr>S_Lease_Liab_CB_5</vt:lpstr>
      <vt:lpstr>'LeaseTemplate (2)'!S_Non_Can_Date</vt:lpstr>
      <vt:lpstr>S_Non_Can_Date</vt:lpstr>
      <vt:lpstr>'LeaseTemplate (2)'!S_Payments</vt:lpstr>
      <vt:lpstr>S_Payments</vt:lpstr>
      <vt:lpstr>'LeaseTemplate (2)'!S_Repayment</vt:lpstr>
      <vt:lpstr>S_Repayment</vt:lpstr>
      <vt:lpstr>'LeaseTemplate (2)'!SearchPeriod_0</vt:lpstr>
      <vt:lpstr>SearchPeriod_0</vt:lpstr>
      <vt:lpstr>'LeaseTemplate (2)'!TerminationOption</vt:lpstr>
      <vt:lpstr>TerminationOption</vt:lpstr>
      <vt:lpstr>'LeaseTemplate (2)'!TerminationOption_StartDate</vt:lpstr>
      <vt:lpstr>TerminationOption_StartDate</vt:lpstr>
      <vt:lpstr>'LeaseTemplate (2)'!TotalFixedMonthlyPayment</vt:lpstr>
      <vt:lpstr>TotalFixedMonthlyPayment</vt:lpstr>
      <vt:lpstr>'LeaseTemplate (2)'!UsefulLife_EndDate</vt:lpstr>
      <vt:lpstr>UsefulLife_EndDate</vt:lpstr>
      <vt:lpstr>'LeaseTemplate (2)'!UsefulLife_Years</vt:lpstr>
      <vt:lpstr>UsefulLife_Years</vt:lpstr>
      <vt:lpstr>'LeaseTemplate (2)'!UsefulLifeYears</vt:lpstr>
      <vt:lpstr>UsefulLifeYears</vt:lpstr>
      <vt:lpstr>'LeaseTemplate (2)'!VariablePaymentType</vt:lpstr>
      <vt:lpstr>VariablePaymentType</vt:lpstr>
      <vt:lpstr>'LeaseTemplate (2)'!VariableRow1</vt:lpstr>
      <vt:lpstr>VariableRow1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Imran Ahmad</dc:creator>
  <cp:lastModifiedBy>Imran Hussain</cp:lastModifiedBy>
  <dcterms:created xsi:type="dcterms:W3CDTF">2023-02-19T09:53:02Z</dcterms:created>
  <dcterms:modified xsi:type="dcterms:W3CDTF">2025-06-07T10:48:03Z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0x010100D7ECB256DF155E4B948184CE8A87FF10</vt:lpwstr>
  </property>
</Properties>
</file>